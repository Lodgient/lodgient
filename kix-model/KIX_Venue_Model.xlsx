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enchmark" sheetId="2" state="visible" r:id="rId2"/>
    <sheet name="Assumptions" sheetId="3" state="visible" r:id="rId3"/>
    <sheet name="Revenue Build" sheetId="4" state="visible" r:id="rId4"/>
    <sheet name="Capex" sheetId="5" state="visible" r:id="rId5"/>
    <sheet name="P&amp;L" sheetId="6" state="visible" r:id="rId6"/>
    <sheet name="Returns &amp; 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-"/>
    <numFmt numFmtId="165" formatCode="$#,##0;($#,##0);-"/>
    <numFmt numFmtId="166" formatCode="0.0%;(0.0%);-"/>
    <numFmt numFmtId="167" formatCode="$#,##0.00;($#,##0.00);-"/>
    <numFmt numFmtId="168" formatCode="0.00x"/>
    <numFmt numFmtId="169" formatCode="0.0"/>
    <numFmt numFmtId="170" formatCode="#,##0.0;(#,##0.0);-"/>
  </numFmts>
  <fonts count="11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color rgb="00595959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1A1A1A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top style="thin">
        <color rgb="00404040"/>
      </top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9" fillId="0" borderId="0" pivotButton="0" quotePrefix="0" xfId="0"/>
    <xf numFmtId="0" fontId="4" fillId="0" borderId="0" pivotButton="0" quotePrefix="0" xfId="0"/>
    <xf numFmtId="2" fontId="5" fillId="2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4" fillId="0" borderId="0" pivotButton="0" quotePrefix="0" xfId="0"/>
    <xf numFmtId="166" fontId="5" fillId="0" borderId="0" pivotButton="0" quotePrefix="0" xfId="0"/>
    <xf numFmtId="0" fontId="10" fillId="0" borderId="0" pivotButton="0" quotePrefix="0" xfId="0"/>
    <xf numFmtId="167" fontId="9" fillId="0" borderId="0" pivotButton="0" quotePrefix="0" xfId="0"/>
    <xf numFmtId="167" fontId="9" fillId="2" borderId="0" pivotButton="0" quotePrefix="0" xfId="0"/>
    <xf numFmtId="167" fontId="4" fillId="0" borderId="0" pivotButton="0" quotePrefix="0" xfId="0"/>
    <xf numFmtId="166" fontId="4" fillId="0" borderId="0" pivotButton="0" quotePrefix="0" xfId="0"/>
    <xf numFmtId="167" fontId="9" fillId="4" borderId="0" pivotButton="0" quotePrefix="0" xfId="0"/>
    <xf numFmtId="168" fontId="9" fillId="4" borderId="0" pivotButton="0" quotePrefix="0" xfId="0"/>
    <xf numFmtId="169" fontId="9" fillId="4" borderId="0" pivotButton="0" quotePrefix="0" xfId="0"/>
    <xf numFmtId="164" fontId="5" fillId="2" borderId="0" pivotButton="0" quotePrefix="0" xfId="0"/>
    <xf numFmtId="170" fontId="5" fillId="0" borderId="0" pivotButton="0" quotePrefix="0" xfId="0"/>
    <xf numFmtId="166" fontId="5" fillId="2" borderId="0" pivotButton="0" quotePrefix="0" xfId="0"/>
    <xf numFmtId="165" fontId="5" fillId="2" borderId="0" pivotButton="0" quotePrefix="0" xfId="0"/>
    <xf numFmtId="167" fontId="5" fillId="2" borderId="0" pivotButton="0" quotePrefix="0" xfId="0"/>
    <xf numFmtId="167" fontId="5" fillId="0" borderId="0" pivotButton="0" quotePrefix="0" xfId="0"/>
    <xf numFmtId="164" fontId="4" fillId="0" borderId="0" pivotButton="0" quotePrefix="0" xfId="0"/>
    <xf numFmtId="164" fontId="9" fillId="0" borderId="0" pivotButton="0" quotePrefix="0" xfId="0"/>
    <xf numFmtId="164" fontId="9" fillId="5" borderId="1" pivotButton="0" quotePrefix="0" xfId="0"/>
    <xf numFmtId="165" fontId="9" fillId="5" borderId="1" pivotButton="0" quotePrefix="0" xfId="0"/>
    <xf numFmtId="167" fontId="6" fillId="0" borderId="0" pivotButton="0" quotePrefix="0" xfId="0"/>
    <xf numFmtId="168" fontId="9" fillId="0" borderId="0" pivotButton="0" quotePrefix="0" xfId="0"/>
    <xf numFmtId="166" fontId="9" fillId="0" borderId="0" pivotButton="0" quotePrefix="0" xfId="0"/>
    <xf numFmtId="165" fontId="9" fillId="0" borderId="1" pivotButton="0" quotePrefix="0" xfId="0"/>
    <xf numFmtId="0" fontId="9" fillId="0" borderId="0" applyAlignment="1" pivotButton="0" quotePrefix="0" xfId="0">
      <alignment horizontal="right"/>
    </xf>
    <xf numFmtId="165" fontId="9" fillId="0" borderId="0" pivotButton="0" quotePrefix="0" xfId="0"/>
    <xf numFmtId="0" fontId="4" fillId="0" borderId="0" applyAlignment="1" pivotButton="0" quotePrefix="0" xfId="0">
      <alignment indent="1"/>
    </xf>
    <xf numFmtId="166" fontId="9" fillId="5" borderId="0" pivotButton="0" quotePrefix="0" xfId="0"/>
    <xf numFmtId="165" fontId="6" fillId="0" borderId="0" pivotButton="0" quotePrefix="0" xfId="0"/>
    <xf numFmtId="169" fontId="9" fillId="5" borderId="0" pivotButton="0" quotePrefix="0" xfId="0"/>
    <xf numFmtId="168" fontId="5" fillId="2" borderId="0" pivotButton="0" quotePrefix="0" xfId="0"/>
    <xf numFmtId="169" fontId="4" fillId="0" borderId="0" pivotButton="0" quotePrefix="0" xfId="0"/>
    <xf numFmtId="166" fontId="9" fillId="4" borderId="0" pivotButton="0" quotePrefix="0" xfId="0"/>
    <xf numFmtId="166" fontId="6" fillId="0" borderId="0" pivotButton="0" quotePrefix="0" xfId="0"/>
    <xf numFmtId="169" fontId="6" fillId="0" borderId="0" pivotButton="0" quotePrefix="0" xfId="0"/>
    <xf numFmtId="169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KIX — VENUE FINANCIAL MODEL</t>
        </is>
      </c>
    </row>
    <row r="3">
      <c r="B3" s="2" t="inlineStr">
        <is>
          <t>Bottom-up capacity model - 18,000 SF vs 35,000 SF - benchmarked to a real ESA-equipped venue</t>
        </is>
      </c>
    </row>
    <row r="5" ht="14" customHeight="1">
      <c r="B5" s="3" t="inlineStr">
        <is>
          <t>What this model does</t>
        </is>
      </c>
    </row>
    <row r="6" ht="28" customHeight="1">
      <c r="B6" s="4" t="inlineStr">
        <is>
          <t>Builds venue revenue from the bottom up - stations x throughput x operating hours x utilisation - instead of assuming a revenue target. Every line traces back to a driver you can change.</t>
        </is>
      </c>
    </row>
    <row r="7" ht="28" customHeight="1">
      <c r="B7" s="4" t="inlineStr">
        <is>
          <t>It runs two footprints side by side: an 18,000 SF box and the 35,000 SF box in the current KIX plan, so the trade-off between size, capital and payback is explicit.</t>
        </is>
      </c>
    </row>
    <row r="8" ht="28" customHeight="1">
      <c r="B8" s="4" t="inlineStr">
        <is>
          <t>It is calibrated against Ballpark Brighton - the only published financial case study of an ESA-equipped entertainment venue - so the assumptions are anchored to a real operating comparable.</t>
        </is>
      </c>
    </row>
    <row r="10" ht="14" customHeight="1">
      <c r="B10" s="3" t="inlineStr">
        <is>
          <t>How to use it</t>
        </is>
      </c>
    </row>
    <row r="11" ht="14" customHeight="1">
      <c r="B11" s="4" t="inlineStr">
        <is>
          <t>1.  Open 'Assumptions'. Every blue cell is an input. Change them; everything else recalculates.</t>
        </is>
      </c>
    </row>
    <row r="12" ht="28" customHeight="1">
      <c r="B12" s="4" t="inlineStr">
        <is>
          <t>2.  'Revenue Build' shows the stabilised (Year 3) revenue for each footprint and cross-checks it against the benchmark's revenue density.</t>
        </is>
      </c>
    </row>
    <row r="13" ht="14" customHeight="1">
      <c r="B13" s="4" t="inlineStr">
        <is>
          <t>3.  'Capex' builds total project cost excluding real estate.</t>
        </is>
      </c>
    </row>
    <row r="14" ht="14" customHeight="1">
      <c r="B14" s="4" t="inlineStr">
        <is>
          <t>4.  'P&amp;L' applies the ramp to produce five years for each footprint.</t>
        </is>
      </c>
    </row>
    <row r="15" ht="28" customHeight="1">
      <c r="B15" s="4" t="inlineStr">
        <is>
          <t>5.  'Returns &amp; Scenarios' gives payback, cash-on-cash, downside/base/upside, and a direct reconciliation against the numbers in the current KIX business plan.</t>
        </is>
      </c>
    </row>
    <row r="17" ht="14" customHeight="1">
      <c r="B17" s="3" t="inlineStr">
        <is>
          <t>Colour legend</t>
        </is>
      </c>
    </row>
    <row r="18" ht="14" customHeight="1">
      <c r="B18" s="5" t="inlineStr">
        <is>
          <t>Blue text        = hardcoded input. These are the cells to edit.</t>
        </is>
      </c>
    </row>
    <row r="19" ht="14" customHeight="1">
      <c r="B19" s="6" t="inlineStr">
        <is>
          <t>Green text       = link to another sheet in this workbook.</t>
        </is>
      </c>
    </row>
    <row r="20" ht="14" customHeight="1">
      <c r="B20" s="4" t="inlineStr">
        <is>
          <t>Black text       = calculated. Do not overwrite.</t>
        </is>
      </c>
    </row>
    <row r="21" ht="14" customHeight="1">
      <c r="B21" s="7" t="inlineStr">
        <is>
          <t>Yellow fill      = key assumption. These drive the result more than anything else.</t>
        </is>
      </c>
    </row>
    <row r="23" ht="14" customHeight="1">
      <c r="B23" s="3" t="inlineStr">
        <is>
          <t>Health warning</t>
        </is>
      </c>
    </row>
    <row r="24" ht="28" customHeight="1">
      <c r="B24" s="4" t="inlineStr">
        <is>
          <t>Two assumptions carry almost all the risk in this model: blended station utilisation and spend per head. Both are guesses until Sarasota (or a presell campaign) produces real data. Everything else is arithmetic. Flex those two first and see how fast the returns move.</t>
        </is>
      </c>
    </row>
    <row r="25" ht="14" customHeight="1">
      <c r="B25" s="4" t="inlineStr">
        <is>
          <t>Nothing in here is validated demand. It is a planning case, not a forecast.</t>
        </is>
      </c>
    </row>
    <row r="27" ht="14" customHeight="1">
      <c r="B27" s="3" t="inlineStr">
        <is>
          <t>Sources</t>
        </is>
      </c>
    </row>
    <row r="28" ht="28" customHeight="1">
      <c r="B28" s="4" t="inlineStr">
        <is>
          <t>Benchmark data: Elite Skills Arena, 'Ballpark Brighton: Financial Performance of an ESA-Based Entertainment Venue', published 18 May 2026.</t>
        </is>
      </c>
    </row>
    <row r="29" ht="28" customHeight="1">
      <c r="B29" s="4" t="inlineStr">
        <is>
          <t>https://eliteskillsarena.com/post/ballpark-brighton-financial-performance-of-an-esa-based-entertainment-venue</t>
        </is>
      </c>
    </row>
    <row r="30" ht="28" customHeight="1">
      <c r="B30" s="4" t="inlineStr">
        <is>
          <t>KIX plan figures: KIX Master Business Plan 2026, section 26 (Unit Economics) and section 9 (buildout target).</t>
        </is>
      </c>
    </row>
    <row r="31" ht="14" customHeight="1">
      <c r="B31" s="4" t="inlineStr">
        <is>
          <t>All other assumptions are management estimates entered as inputs and flagged blue in 'Assumptions'.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BENCHMARK — BALLPARK BRIGHTON</t>
        </is>
      </c>
    </row>
    <row r="2">
      <c r="A2" s="8" t="inlineStr">
        <is>
          <t>The only published financial case study of an ESA-equipped entertainment venue. Source: Elite Skills Arena, 18 May 2026.</t>
        </is>
      </c>
    </row>
    <row r="4" ht="18" customHeight="1">
      <c r="A4" s="9" t="inlineStr">
        <is>
          <t>FX AND REPORTED FIGURES</t>
        </is>
      </c>
      <c r="B4" s="10" t="n"/>
      <c r="C4" s="10" t="n"/>
      <c r="D4" s="10" t="n"/>
    </row>
    <row r="5">
      <c r="B5" s="11" t="inlineStr">
        <is>
          <t>GBP</t>
        </is>
      </c>
      <c r="C5" s="11" t="inlineStr">
        <is>
          <t>USD</t>
        </is>
      </c>
      <c r="D5" s="11" t="inlineStr">
        <is>
          <t>Note</t>
        </is>
      </c>
    </row>
    <row r="6">
      <c r="A6" s="12" t="inlineStr">
        <is>
          <t>GBP / USD rate</t>
        </is>
      </c>
      <c r="B6" s="13" t="n">
        <v>1.3</v>
      </c>
      <c r="D6" s="8" t="inlineStr">
        <is>
          <t>Edit to change every USD figure below</t>
        </is>
      </c>
    </row>
    <row r="7">
      <c r="A7" s="12" t="inlineStr">
        <is>
          <t>Footprint (sq ft)</t>
        </is>
      </c>
      <c r="B7" s="14" t="n">
        <v>5382</v>
      </c>
      <c r="D7" s="8" t="inlineStr">
        <is>
          <t>500 sq m as reported, converted at 10.764 sq ft per sq m</t>
        </is>
      </c>
    </row>
    <row r="8">
      <c r="A8" s="12" t="inlineStr">
        <is>
          <t>Annual revenue</t>
        </is>
      </c>
      <c r="B8" s="15" t="n">
        <v>192000</v>
      </c>
      <c r="C8" s="16">
        <f>B8*$B$6</f>
        <v/>
      </c>
      <c r="D8" s="8" t="inlineStr">
        <is>
          <t>GBP 16,000 per month as reported</t>
        </is>
      </c>
    </row>
    <row r="9">
      <c r="A9" s="12" t="inlineStr">
        <is>
          <t>ESA equipment cost</t>
        </is>
      </c>
      <c r="B9" s="15" t="n">
        <v>69000</v>
      </c>
      <c r="C9" s="16">
        <f>B9*$B$6</f>
        <v/>
      </c>
      <c r="D9" s="8" t="inlineStr">
        <is>
          <t>Fast Feet, ICON 6m, Precision Wall</t>
        </is>
      </c>
    </row>
    <row r="10">
      <c r="A10" s="12" t="inlineStr">
        <is>
          <t>Total opening cost</t>
        </is>
      </c>
      <c r="B10" s="15" t="n">
        <v>200000</v>
      </c>
      <c r="C10" s="16">
        <f>B10*$B$6</f>
        <v/>
      </c>
      <c r="D10" s="8" t="inlineStr">
        <is>
          <t>Converted restaurant, not a raw warehouse shell</t>
        </is>
      </c>
    </row>
    <row r="11">
      <c r="A11" s="12" t="inlineStr">
        <is>
          <t>Annual rent</t>
        </is>
      </c>
      <c r="B11" s="15" t="n">
        <v>45000</v>
      </c>
      <c r="C11" s="16">
        <f>B11*$B$6</f>
        <v/>
      </c>
      <c r="D11" s="8" t="inlineStr">
        <is>
          <t>GBP 3,750 per month as reported</t>
        </is>
      </c>
    </row>
    <row r="12">
      <c r="A12" s="12" t="inlineStr">
        <is>
          <t>Bar / F&amp;B share of revenue</t>
        </is>
      </c>
      <c r="B12" s="17" t="n">
        <v>0.15</v>
      </c>
      <c r="D12" s="8" t="inlineStr">
        <is>
          <t>Low. A proper F&amp;B operation runs 25-40% in this category</t>
        </is>
      </c>
    </row>
    <row r="14" ht="18" customHeight="1">
      <c r="A14" s="9" t="inlineStr">
        <is>
          <t>DERIVED DENSITY</t>
        </is>
      </c>
      <c r="B14" s="10" t="n"/>
      <c r="C14" s="10" t="n"/>
      <c r="D14" s="10" t="n"/>
    </row>
    <row r="15">
      <c r="A15" s="18" t="inlineStr">
        <is>
          <t>Revenue per SF per year</t>
        </is>
      </c>
      <c r="B15" s="19">
        <f>B8/B7</f>
        <v/>
      </c>
      <c r="C15" s="20">
        <f>C8/B7</f>
        <v/>
      </c>
      <c r="D15" s="8" t="inlineStr">
        <is>
          <t>THE anchor number for this whole model</t>
        </is>
      </c>
    </row>
    <row r="16">
      <c r="A16" s="12" t="inlineStr">
        <is>
          <t>Equipment cost per SF</t>
        </is>
      </c>
      <c r="B16" s="21">
        <f>B9/B7</f>
        <v/>
      </c>
      <c r="C16" s="21">
        <f>C9/B7</f>
        <v/>
      </c>
    </row>
    <row r="17">
      <c r="A17" s="12" t="inlineStr">
        <is>
          <t>Total capex per SF</t>
        </is>
      </c>
      <c r="B17" s="21">
        <f>B10/B7</f>
        <v/>
      </c>
      <c r="C17" s="21">
        <f>C10/B7</f>
        <v/>
      </c>
      <c r="D17" s="8" t="inlineStr">
        <is>
          <t>Fitted restaurant conversion. A US warehouse shell costs materially more</t>
        </is>
      </c>
    </row>
    <row r="18">
      <c r="A18" s="12" t="inlineStr">
        <is>
          <t>Equipment as % of total capex</t>
        </is>
      </c>
      <c r="B18" s="22">
        <f>B9/B10</f>
        <v/>
      </c>
      <c r="D18" s="8" t="inlineStr">
        <is>
          <t>34.5% as reported — useful sense-check on the KIX capex mix</t>
        </is>
      </c>
    </row>
    <row r="19">
      <c r="A19" s="12" t="inlineStr">
        <is>
          <t>Rent per SF per year</t>
        </is>
      </c>
      <c r="B19" s="21">
        <f>B11/B7</f>
        <v/>
      </c>
      <c r="C19" s="21">
        <f>C11/B7</f>
        <v/>
      </c>
    </row>
    <row r="21" ht="18" customHeight="1">
      <c r="A21" s="9" t="inlineStr">
        <is>
          <t>THE KIX PLAN, AS WRITTEN</t>
        </is>
      </c>
      <c r="B21" s="10" t="n"/>
      <c r="C21" s="10" t="n"/>
      <c r="D21" s="10" t="n"/>
    </row>
    <row r="22">
      <c r="A22" s="12" t="inlineStr">
        <is>
          <t>Planned footprint (SF)</t>
        </is>
      </c>
      <c r="B22" s="14" t="n">
        <v>35000</v>
      </c>
      <c r="D22" s="8" t="inlineStr">
        <is>
          <t>Midpoint of the 30-40k SF target, plan section 9</t>
        </is>
      </c>
    </row>
    <row r="23">
      <c r="A23" s="12" t="inlineStr">
        <is>
          <t>Planned stabilised revenue (Year 3)</t>
        </is>
      </c>
      <c r="B23" s="15" t="n">
        <v>5000000</v>
      </c>
      <c r="D23" s="8" t="inlineStr">
        <is>
          <t>Plan section 26</t>
        </is>
      </c>
    </row>
    <row r="24">
      <c r="A24" s="12" t="inlineStr">
        <is>
          <t>Planned Year 3 EBITDA</t>
        </is>
      </c>
      <c r="B24" s="15" t="n">
        <v>1300000</v>
      </c>
      <c r="D24" s="8" t="inlineStr">
        <is>
          <t>Plan section 26 — 26% margin</t>
        </is>
      </c>
    </row>
    <row r="25">
      <c r="A25" s="12" t="inlineStr">
        <is>
          <t>Planned buildout (excl. real estate)</t>
        </is>
      </c>
      <c r="B25" s="15" t="n">
        <v>1500000</v>
      </c>
      <c r="D25" s="8" t="inlineStr">
        <is>
          <t>Midpoint of the $1.0-2.0M target, plan section 9</t>
        </is>
      </c>
    </row>
    <row r="26">
      <c r="A26" s="18" t="inlineStr">
        <is>
          <t>Implied revenue per SF</t>
        </is>
      </c>
      <c r="B26" s="23">
        <f>B23/B22</f>
        <v/>
      </c>
    </row>
    <row r="27">
      <c r="A27" s="18" t="inlineStr">
        <is>
          <t>Multiple of Ballpark density</t>
        </is>
      </c>
      <c r="B27" s="24">
        <f>B26/C15</f>
        <v/>
      </c>
      <c r="D27" s="8" t="inlineStr">
        <is>
          <t>The plan assumes this many times the revenue density of the benchmark</t>
        </is>
      </c>
    </row>
    <row r="28">
      <c r="A28" s="12" t="inlineStr">
        <is>
          <t>Implied simple payback (years)</t>
        </is>
      </c>
      <c r="B28" s="25">
        <f>B25/B24</f>
        <v/>
      </c>
      <c r="D28" s="8" t="inlineStr">
        <is>
          <t>A payback this fast is the number investors will challenge first</t>
        </is>
      </c>
    </row>
    <row r="30">
      <c r="A30" s="11" t="inlineStr">
        <is>
          <t>Reading this sheet</t>
        </is>
      </c>
    </row>
    <row r="31">
      <c r="A31" s="12" t="inlineStr">
        <is>
          <t>Ballpark is a husband-and-wife independent in a converted restaurant with no membership programme and F&amp;B at only 15%.</t>
        </is>
      </c>
    </row>
    <row r="32">
      <c r="A32" s="12" t="inlineStr">
        <is>
          <t>A professionally capitalised venue should beat it. But the KIX plan assumes it beats it by roughly 3x per square foot,</t>
        </is>
      </c>
    </row>
    <row r="33">
      <c r="A33" s="12" t="inlineStr">
        <is>
          <t>in a footprint over six times larger — and larger boxes almost always earn LESS per SF, not more, because circulation,</t>
        </is>
      </c>
    </row>
    <row r="34">
      <c r="A34" s="12" t="inlineStr">
        <is>
          <t>back-of-house, party rooms and seating do not sell tickets. That gap is the single biggest risk in the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54" customWidth="1" min="4" max="4"/>
  </cols>
  <sheetData>
    <row r="1">
      <c r="A1" s="1" t="inlineStr">
        <is>
          <t>ASSUMPTIONS</t>
        </is>
      </c>
    </row>
    <row r="2">
      <c r="A2" s="8" t="inlineStr">
        <is>
          <t>Every blue cell is an input. Yellow fill marks the assumptions that move the answer most.</t>
        </is>
      </c>
    </row>
    <row r="4">
      <c r="B4" s="11" t="inlineStr">
        <is>
          <t>Scenario A</t>
        </is>
      </c>
      <c r="C4" s="11" t="inlineStr">
        <is>
          <t>Scenario B</t>
        </is>
      </c>
      <c r="D4" s="11" t="inlineStr">
        <is>
          <t>Note</t>
        </is>
      </c>
    </row>
    <row r="5">
      <c r="B5" s="18" t="inlineStr">
        <is>
          <t>18,000 SF</t>
        </is>
      </c>
      <c r="C5" s="18" t="inlineStr">
        <is>
          <t>35,000 SF</t>
        </is>
      </c>
    </row>
    <row r="6" ht="18" customHeight="1">
      <c r="A6" s="9" t="inlineStr">
        <is>
          <t>FOOTPRINT &amp; LAYOUT</t>
        </is>
      </c>
      <c r="B6" s="10" t="n"/>
      <c r="C6" s="10" t="n"/>
      <c r="D6" s="10" t="n"/>
    </row>
    <row r="7">
      <c r="A7" s="12" t="inlineStr">
        <is>
          <t>Total footprint (SF)</t>
        </is>
      </c>
      <c r="B7" s="26" t="n">
        <v>18000</v>
      </c>
      <c r="C7" s="26" t="n">
        <v>35000</v>
      </c>
      <c r="D7" s="8" t="inlineStr">
        <is>
          <t>The core trade-off this model tests</t>
        </is>
      </c>
    </row>
    <row r="8">
      <c r="A8" s="12" t="inlineStr">
        <is>
          <t>Attraction stations</t>
        </is>
      </c>
      <c r="B8" s="14" t="n">
        <v>14</v>
      </c>
      <c r="C8" s="14" t="n">
        <v>22</v>
      </c>
      <c r="D8" s="8" t="inlineStr">
        <is>
          <t>ESA units: Power Shot, Precision Wall, Fast Feet, Dribble Lane, Panenka, Sprint Lane</t>
        </is>
      </c>
    </row>
    <row r="9">
      <c r="A9" s="12" t="inlineStr">
        <is>
          <t>Party rooms</t>
        </is>
      </c>
      <c r="B9" s="14" t="n">
        <v>2</v>
      </c>
      <c r="C9" s="14" t="n">
        <v>4</v>
      </c>
    </row>
    <row r="10">
      <c r="A10" s="12" t="inlineStr">
        <is>
          <t>Small-sided pitches</t>
        </is>
      </c>
      <c r="B10" s="14" t="n">
        <v>1</v>
      </c>
      <c r="C10" s="14" t="n">
        <v>3</v>
      </c>
      <c r="D10" s="8" t="inlineStr">
        <is>
          <t>Drives league capacity</t>
        </is>
      </c>
    </row>
    <row r="12" ht="18" customHeight="1">
      <c r="A12" s="9" t="inlineStr">
        <is>
          <t>CAPACITY &amp; THROUGHPUT</t>
        </is>
      </c>
      <c r="B12" s="10" t="n"/>
      <c r="C12" s="10" t="n"/>
      <c r="D12" s="10" t="n"/>
    </row>
    <row r="13">
      <c r="A13" s="12" t="inlineStr">
        <is>
          <t>Play cycles per station per hour</t>
        </is>
      </c>
      <c r="B13" s="27" t="n">
        <v>7</v>
      </c>
      <c r="C13" s="27" t="n">
        <v>7</v>
      </c>
      <c r="D13" s="8" t="inlineStr">
        <is>
          <t>Allows for changeover and group rotation</t>
        </is>
      </c>
    </row>
    <row r="14">
      <c r="A14" s="12" t="inlineStr">
        <is>
          <t>Operating hours per week</t>
        </is>
      </c>
      <c r="B14" s="14" t="n">
        <v>85</v>
      </c>
      <c r="C14" s="14" t="n">
        <v>85</v>
      </c>
      <c r="D14" s="8" t="inlineStr">
        <is>
          <t>~12h weekdays, ~13h weekends</t>
        </is>
      </c>
    </row>
    <row r="15">
      <c r="A15" s="12" t="inlineStr">
        <is>
          <t>Weeks open per year</t>
        </is>
      </c>
      <c r="B15" s="14" t="n">
        <v>51</v>
      </c>
      <c r="C15" s="14" t="n">
        <v>51</v>
      </c>
    </row>
    <row r="16">
      <c r="A16" s="12" t="inlineStr">
        <is>
          <t>Blended station utilisation</t>
        </is>
      </c>
      <c r="B16" s="28" t="n">
        <v>0.2</v>
      </c>
      <c r="C16" s="28" t="n">
        <v>0.2</v>
      </c>
      <c r="D16" s="8" t="inlineStr">
        <is>
          <t>THE most sensitive assumption. Demand concentrates into after-school and weekends</t>
        </is>
      </c>
    </row>
    <row r="17">
      <c r="A17" s="12" t="inlineStr">
        <is>
          <t>Play cycles per walk-in visit</t>
        </is>
      </c>
      <c r="B17" s="27" t="n">
        <v>5</v>
      </c>
      <c r="C17" s="27" t="n">
        <v>5</v>
      </c>
      <c r="D17" s="8" t="inlineStr">
        <is>
          <t>A visitor buys a game pack, not one play</t>
        </is>
      </c>
    </row>
    <row r="19" ht="18" customHeight="1">
      <c r="A19" s="9" t="inlineStr">
        <is>
          <t>PRICING &amp; SPEND</t>
        </is>
      </c>
      <c r="B19" s="10" t="n"/>
      <c r="C19" s="10" t="n"/>
      <c r="D19" s="10" t="n"/>
    </row>
    <row r="20">
      <c r="A20" s="12" t="inlineStr">
        <is>
          <t>Attraction spend per walk-in visit ($)</t>
        </is>
      </c>
      <c r="B20" s="29" t="n">
        <v>26</v>
      </c>
      <c r="C20" s="29" t="n">
        <v>26</v>
      </c>
      <c r="D20" s="8" t="inlineStr">
        <is>
          <t>Game pack price point</t>
        </is>
      </c>
    </row>
    <row r="21">
      <c r="A21" s="12" t="inlineStr">
        <is>
          <t>F&amp;B spend per head of footfall ($)</t>
        </is>
      </c>
      <c r="B21" s="30" t="n">
        <v>6</v>
      </c>
      <c r="C21" s="30" t="n">
        <v>6</v>
      </c>
      <c r="D21" s="8" t="inlineStr">
        <is>
          <t>Blended across all footfall. Ballpark achieves far less; a real F&amp;B programme should beat this</t>
        </is>
      </c>
    </row>
    <row r="22">
      <c r="A22" s="12" t="inlineStr">
        <is>
          <t>Retail spend per head of footfall ($)</t>
        </is>
      </c>
      <c r="B22" s="31" t="n">
        <v>0.9</v>
      </c>
      <c r="C22" s="31" t="n">
        <v>0.9</v>
      </c>
    </row>
    <row r="24" ht="18" customHeight="1">
      <c r="A24" s="9" t="inlineStr">
        <is>
          <t>MEMBERSHIP</t>
        </is>
      </c>
      <c r="B24" s="10" t="n"/>
      <c r="C24" s="10" t="n"/>
      <c r="D24" s="10" t="n"/>
    </row>
    <row r="25">
      <c r="A25" s="12" t="inlineStr">
        <is>
          <t>Average active members</t>
        </is>
      </c>
      <c r="B25" s="26" t="n">
        <v>300</v>
      </c>
      <c r="C25" s="26" t="n">
        <v>500</v>
      </c>
      <c r="D25" s="8" t="inlineStr">
        <is>
          <t>Net of churn, averaged across the year</t>
        </is>
      </c>
    </row>
    <row r="26">
      <c r="A26" s="12" t="inlineStr">
        <is>
          <t>Average monthly fee ($)</t>
        </is>
      </c>
      <c r="B26" s="15" t="n">
        <v>85</v>
      </c>
      <c r="C26" s="15" t="n">
        <v>85</v>
      </c>
      <c r="D26" s="8" t="inlineStr">
        <is>
          <t>Blended across PLAY/PLAYER/PRO/FAMILY tiers</t>
        </is>
      </c>
    </row>
    <row r="27">
      <c r="A27" s="12" t="inlineStr">
        <is>
          <t>Member visits per member per month</t>
        </is>
      </c>
      <c r="B27" s="27" t="n">
        <v>2.5</v>
      </c>
      <c r="C27" s="27" t="n">
        <v>2.5</v>
      </c>
      <c r="D27" s="8" t="inlineStr">
        <is>
          <t>Feeds footfall for F&amp;B and retail. Member play is covered by the fee, not charged again</t>
        </is>
      </c>
    </row>
    <row r="29" ht="18" customHeight="1">
      <c r="A29" s="9" t="inlineStr">
        <is>
          <t>PROGRAMMES</t>
        </is>
      </c>
      <c r="B29" s="10" t="n"/>
      <c r="C29" s="10" t="n"/>
      <c r="D29" s="10" t="n"/>
    </row>
    <row r="30">
      <c r="A30" s="12" t="inlineStr">
        <is>
          <t>Parties per year</t>
        </is>
      </c>
      <c r="B30" s="14" t="n">
        <v>300</v>
      </c>
      <c r="C30" s="14" t="n">
        <v>450</v>
      </c>
      <c r="D30" s="8" t="inlineStr">
        <is>
          <t>Ballpark runs 1-2 per week in 5,400 SF</t>
        </is>
      </c>
    </row>
    <row r="31">
      <c r="A31" s="12" t="inlineStr">
        <is>
          <t>Average party package ($)</t>
        </is>
      </c>
      <c r="B31" s="15" t="n">
        <v>600</v>
      </c>
      <c r="C31" s="15" t="n">
        <v>600</v>
      </c>
    </row>
    <row r="32">
      <c r="A32" s="12" t="inlineStr">
        <is>
          <t>Average guests per party</t>
        </is>
      </c>
      <c r="B32" s="14" t="n">
        <v>16</v>
      </c>
      <c r="C32" s="14" t="n">
        <v>16</v>
      </c>
    </row>
    <row r="33">
      <c r="A33" s="12" t="inlineStr">
        <is>
          <t>Academy &amp; clinics revenue ($)</t>
        </is>
      </c>
      <c r="B33" s="15" t="n">
        <v>220000</v>
      </c>
      <c r="C33" s="15" t="n">
        <v>340000</v>
      </c>
    </row>
    <row r="34">
      <c r="A34" s="12" t="inlineStr">
        <is>
          <t>Academy participant visits (annual)</t>
        </is>
      </c>
      <c r="B34" s="14" t="n">
        <v>9000</v>
      </c>
      <c r="C34" s="14" t="n">
        <v>14000</v>
      </c>
    </row>
    <row r="35">
      <c r="A35" s="12" t="inlineStr">
        <is>
          <t>Camps revenue ($)</t>
        </is>
      </c>
      <c r="B35" s="15" t="n">
        <v>120000</v>
      </c>
      <c r="C35" s="15" t="n">
        <v>190000</v>
      </c>
      <c r="D35" s="8" t="inlineStr">
        <is>
          <t>School holidays and summer</t>
        </is>
      </c>
    </row>
    <row r="36">
      <c r="A36" s="12" t="inlineStr">
        <is>
          <t>Camp participant-days (annual)</t>
        </is>
      </c>
      <c r="B36" s="14" t="n">
        <v>3000</v>
      </c>
      <c r="C36" s="14" t="n">
        <v>4700</v>
      </c>
    </row>
    <row r="37">
      <c r="A37" s="12" t="inlineStr">
        <is>
          <t>Leagues revenue ($)</t>
        </is>
      </c>
      <c r="B37" s="15" t="n">
        <v>150000</v>
      </c>
      <c r="C37" s="15" t="n">
        <v>320000</v>
      </c>
      <c r="D37" s="8" t="inlineStr">
        <is>
          <t>Scales with number of pitches</t>
        </is>
      </c>
    </row>
    <row r="38">
      <c r="A38" s="12" t="inlineStr">
        <is>
          <t>League player-visits (annual)</t>
        </is>
      </c>
      <c r="B38" s="14" t="n">
        <v>7000</v>
      </c>
      <c r="C38" s="14" t="n">
        <v>15000</v>
      </c>
    </row>
    <row r="39">
      <c r="A39" s="12" t="inlineStr">
        <is>
          <t>Corporate &amp; private events revenue ($)</t>
        </is>
      </c>
      <c r="B39" s="15" t="n">
        <v>140000</v>
      </c>
      <c r="C39" s="15" t="n">
        <v>240000</v>
      </c>
    </row>
    <row r="40">
      <c r="A40" s="12" t="inlineStr">
        <is>
          <t>Corporate event attendees (annual)</t>
        </is>
      </c>
      <c r="B40" s="14" t="n">
        <v>2800</v>
      </c>
      <c r="C40" s="14" t="n">
        <v>4800</v>
      </c>
    </row>
    <row r="41">
      <c r="A41" s="12" t="inlineStr">
        <is>
          <t>Sponsorship revenue ($)</t>
        </is>
      </c>
      <c r="B41" s="15" t="n">
        <v>40000</v>
      </c>
      <c r="C41" s="15" t="n">
        <v>60000</v>
      </c>
    </row>
    <row r="43" ht="18" customHeight="1">
      <c r="A43" s="9" t="inlineStr">
        <is>
          <t>CAPEX</t>
        </is>
      </c>
      <c r="B43" s="10" t="n"/>
      <c r="C43" s="10" t="n"/>
      <c r="D43" s="10" t="n"/>
    </row>
    <row r="44">
      <c r="A44" s="12" t="inlineStr">
        <is>
          <t>Fit-out cost per SF ($)</t>
        </is>
      </c>
      <c r="B44" s="29" t="n">
        <v>60</v>
      </c>
      <c r="C44" s="29" t="n">
        <v>60</v>
      </c>
      <c r="D44" s="8" t="inlineStr">
        <is>
          <t>Warehouse shell to finished venue. Lean 55 / realistic 85 / premium 120</t>
        </is>
      </c>
    </row>
    <row r="45">
      <c r="A45" s="12" t="inlineStr">
        <is>
          <t>Cost per attraction station installed ($)</t>
        </is>
      </c>
      <c r="B45" s="15" t="n">
        <v>24000</v>
      </c>
      <c r="C45" s="15" t="n">
        <v>24000</v>
      </c>
      <c r="D45" s="8" t="inlineStr">
        <is>
          <t>ESA list plus freight, duty, install. Benchmark implies ~$18k before US landed costs</t>
        </is>
      </c>
    </row>
    <row r="46">
      <c r="A46" s="12" t="inlineStr">
        <is>
          <t>FF&amp;E, bar &amp; kitchen build ($)</t>
        </is>
      </c>
      <c r="B46" s="15" t="n">
        <v>220000</v>
      </c>
      <c r="C46" s="15" t="n">
        <v>380000</v>
      </c>
    </row>
    <row r="47">
      <c r="A47" s="12" t="inlineStr">
        <is>
          <t>Technology: KIX ID, POS, AV, network ($)</t>
        </is>
      </c>
      <c r="B47" s="15" t="n">
        <v>180000</v>
      </c>
      <c r="C47" s="15" t="n">
        <v>220000</v>
      </c>
      <c r="D47" s="8" t="inlineStr">
        <is>
          <t>Build the identity and scoring layer; buy the venue-ops plumbing</t>
        </is>
      </c>
    </row>
    <row r="48">
      <c r="A48" s="12" t="inlineStr">
        <is>
          <t>Pre-opening: marketing, hiring, licences ($)</t>
        </is>
      </c>
      <c r="B48" s="15" t="n">
        <v>150000</v>
      </c>
      <c r="C48" s="15" t="n">
        <v>220000</v>
      </c>
    </row>
    <row r="49">
      <c r="A49" s="12" t="inlineStr">
        <is>
          <t>Contingency (% of subtotal)</t>
        </is>
      </c>
      <c r="B49" s="17" t="n">
        <v>0.1</v>
      </c>
      <c r="C49" s="17" t="n">
        <v>0.1</v>
      </c>
    </row>
    <row r="51" ht="18" customHeight="1">
      <c r="A51" s="9" t="inlineStr">
        <is>
          <t>OPERATING COSTS</t>
        </is>
      </c>
      <c r="B51" s="10" t="n"/>
      <c r="C51" s="10" t="n"/>
      <c r="D51" s="10" t="n"/>
    </row>
    <row r="52">
      <c r="A52" s="12" t="inlineStr">
        <is>
          <t>Labour (% of revenue)</t>
        </is>
      </c>
      <c r="B52" s="28" t="n">
        <v>0.31</v>
      </c>
      <c r="C52" s="28" t="n">
        <v>0.3</v>
      </c>
      <c r="D52" s="8" t="inlineStr">
        <is>
          <t>Includes coaches, party hosts, floor and F&amp;B staff</t>
        </is>
      </c>
    </row>
    <row r="53">
      <c r="A53" s="12" t="inlineStr">
        <is>
          <t>Rent per SF per year ($)</t>
        </is>
      </c>
      <c r="B53" s="15" t="n">
        <v>14</v>
      </c>
      <c r="C53" s="15" t="n">
        <v>13</v>
      </c>
      <c r="D53" s="8" t="inlineStr">
        <is>
          <t>Florida warehouse / flex, NNN</t>
        </is>
      </c>
    </row>
    <row r="54">
      <c r="A54" s="12" t="inlineStr">
        <is>
          <t>Utilities per SF per year ($)</t>
        </is>
      </c>
      <c r="B54" s="31" t="n">
        <v>3.5</v>
      </c>
      <c r="C54" s="31" t="n">
        <v>3.5</v>
      </c>
    </row>
    <row r="55">
      <c r="A55" s="12" t="inlineStr">
        <is>
          <t>Insurance per SF per year ($)</t>
        </is>
      </c>
      <c r="B55" s="31" t="n">
        <v>2.5</v>
      </c>
      <c r="C55" s="31" t="n">
        <v>2.5</v>
      </c>
      <c r="D55" s="8" t="inlineStr">
        <is>
          <t>Florida property and liability. Materially higher than most US states</t>
        </is>
      </c>
    </row>
    <row r="56">
      <c r="A56" s="12" t="inlineStr">
        <is>
          <t>Marketing (% of revenue)</t>
        </is>
      </c>
      <c r="B56" s="17" t="n">
        <v>0.06</v>
      </c>
      <c r="C56" s="17" t="n">
        <v>0.06</v>
      </c>
    </row>
    <row r="57">
      <c r="A57" s="12" t="inlineStr">
        <is>
          <t>F&amp;B COGS (% of F&amp;B revenue)</t>
        </is>
      </c>
      <c r="B57" s="17" t="n">
        <v>0.28</v>
      </c>
      <c r="C57" s="17" t="n">
        <v>0.28</v>
      </c>
    </row>
    <row r="58">
      <c r="A58" s="12" t="inlineStr">
        <is>
          <t>Equipment service (% of equipment capex)</t>
        </is>
      </c>
      <c r="B58" s="17" t="n">
        <v>0.08</v>
      </c>
      <c r="C58" s="17" t="n">
        <v>0.08</v>
      </c>
      <c r="D58" s="8" t="inlineStr">
        <is>
          <t>Spares, callouts, consumables</t>
        </is>
      </c>
    </row>
    <row r="59">
      <c r="A59" s="12" t="inlineStr">
        <is>
          <t>Software &amp; systems ($ per year)</t>
        </is>
      </c>
      <c r="B59" s="15" t="n">
        <v>60000</v>
      </c>
      <c r="C59" s="15" t="n">
        <v>75000</v>
      </c>
    </row>
    <row r="60">
      <c r="A60" s="12" t="inlineStr">
        <is>
          <t>Repairs &amp; renewals (% of revenue)</t>
        </is>
      </c>
      <c r="B60" s="17" t="n">
        <v>0.02</v>
      </c>
      <c r="C60" s="17" t="n">
        <v>0.02</v>
      </c>
    </row>
    <row r="61">
      <c r="A61" s="12" t="inlineStr">
        <is>
          <t>Admin &amp; other (% of revenue)</t>
        </is>
      </c>
      <c r="B61" s="17" t="n">
        <v>0.05</v>
      </c>
      <c r="C61" s="17" t="n">
        <v>0.05</v>
      </c>
    </row>
    <row r="63" ht="18" customHeight="1">
      <c r="A63" s="9" t="inlineStr">
        <is>
          <t>REVENUE RAMP (% of stabilised)</t>
        </is>
      </c>
      <c r="B63" s="10" t="n"/>
      <c r="C63" s="10" t="n"/>
      <c r="D63" s="10" t="n"/>
    </row>
    <row r="64">
      <c r="A64" s="12" t="inlineStr">
        <is>
          <t>Year 1</t>
        </is>
      </c>
      <c r="B64" s="17" t="n">
        <v>0.55</v>
      </c>
      <c r="C64" s="17" t="n">
        <v>0.55</v>
      </c>
      <c r="D64" s="8" t="inlineStr">
        <is>
          <t>A new venue with no brand does not open at stabilised volume</t>
        </is>
      </c>
    </row>
    <row r="65">
      <c r="A65" s="12" t="inlineStr">
        <is>
          <t>Year 2</t>
        </is>
      </c>
      <c r="B65" s="17" t="n">
        <v>0.82</v>
      </c>
      <c r="C65" s="17" t="n">
        <v>0.82</v>
      </c>
    </row>
    <row r="66">
      <c r="A66" s="12" t="inlineStr">
        <is>
          <t>Year 3 — stabilised</t>
        </is>
      </c>
      <c r="B66" s="17" t="n">
        <v>1</v>
      </c>
      <c r="C66" s="17" t="n">
        <v>1</v>
      </c>
    </row>
    <row r="67">
      <c r="A67" s="12" t="inlineStr">
        <is>
          <t>Year 4</t>
        </is>
      </c>
      <c r="B67" s="17" t="n">
        <v>1.06</v>
      </c>
      <c r="C67" s="17" t="n">
        <v>1.06</v>
      </c>
    </row>
    <row r="68">
      <c r="A68" s="12" t="inlineStr">
        <is>
          <t>Year 5</t>
        </is>
      </c>
      <c r="B68" s="17" t="n">
        <v>1.11</v>
      </c>
      <c r="C68" s="17" t="n">
        <v>1.11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REVENUE BUILD — STABILISED (YEAR 3)</t>
        </is>
      </c>
    </row>
    <row r="2">
      <c r="A2" s="8" t="inlineStr">
        <is>
          <t>Built from capacity, not from a target.</t>
        </is>
      </c>
    </row>
    <row r="4">
      <c r="B4" s="11" t="inlineStr">
        <is>
          <t>18,000 SF</t>
        </is>
      </c>
      <c r="C4" s="11" t="inlineStr">
        <is>
          <t>35,000 SF</t>
        </is>
      </c>
      <c r="D4" s="11" t="inlineStr">
        <is>
          <t>Note</t>
        </is>
      </c>
    </row>
    <row r="5" ht="18" customHeight="1">
      <c r="A5" s="9" t="inlineStr">
        <is>
          <t>CAPACITY</t>
        </is>
      </c>
      <c r="B5" s="10" t="n"/>
      <c r="C5" s="10" t="n"/>
      <c r="D5" s="10" t="n"/>
    </row>
    <row r="6">
      <c r="A6" s="12" t="inlineStr">
        <is>
          <t>Play cycles available per hour</t>
        </is>
      </c>
      <c r="B6" s="32">
        <f>Assumptions!$B$8*Assumptions!$B$13</f>
        <v/>
      </c>
      <c r="C6" s="32">
        <f>Assumptions!$C$8*Assumptions!$C$13</f>
        <v/>
      </c>
    </row>
    <row r="7">
      <c r="A7" s="12" t="inlineStr">
        <is>
          <t>Play cycles available per year</t>
        </is>
      </c>
      <c r="B7" s="32">
        <f>B6*Assumptions!$B$14*Assumptions!$B$15</f>
        <v/>
      </c>
      <c r="C7" s="32">
        <f>C6*Assumptions!$C$14*Assumptions!$C$15</f>
        <v/>
      </c>
      <c r="D7" s="8" t="inlineStr">
        <is>
          <t>Theoretical maximum at 100% utilisation</t>
        </is>
      </c>
    </row>
    <row r="8">
      <c r="A8" s="12" t="inlineStr">
        <is>
          <t>Play cycles sold</t>
        </is>
      </c>
      <c r="B8" s="32">
        <f>B7*Assumptions!$B$16</f>
        <v/>
      </c>
      <c r="C8" s="32">
        <f>C7*Assumptions!$C$16</f>
        <v/>
      </c>
    </row>
    <row r="9">
      <c r="A9" s="18" t="inlineStr">
        <is>
          <t>Walk-in visits per year</t>
        </is>
      </c>
      <c r="B9" s="33">
        <f>B8/Assumptions!$B$17</f>
        <v/>
      </c>
      <c r="C9" s="33">
        <f>C8/Assumptions!$C$17</f>
        <v/>
      </c>
    </row>
    <row r="11" ht="18" customHeight="1">
      <c r="A11" s="9" t="inlineStr">
        <is>
          <t>FOOTFALL (drives F&amp;B and retail)</t>
        </is>
      </c>
      <c r="B11" s="10" t="n"/>
      <c r="C11" s="10" t="n"/>
      <c r="D11" s="10" t="n"/>
    </row>
    <row r="12">
      <c r="A12" s="12" t="inlineStr">
        <is>
          <t>Walk-in visitors</t>
        </is>
      </c>
      <c r="B12" s="32">
        <f>B9</f>
        <v/>
      </c>
      <c r="C12" s="32">
        <f>C9</f>
        <v/>
      </c>
    </row>
    <row r="13">
      <c r="A13" s="12" t="inlineStr">
        <is>
          <t>Member visits</t>
        </is>
      </c>
      <c r="B13" s="32">
        <f>Assumptions!$B$25*Assumptions!$B$27*12</f>
        <v/>
      </c>
      <c r="C13" s="32">
        <f>Assumptions!$C$25*Assumptions!$C$27*12</f>
        <v/>
      </c>
    </row>
    <row r="14">
      <c r="A14" s="12" t="inlineStr">
        <is>
          <t>Party guests</t>
        </is>
      </c>
      <c r="B14" s="32">
        <f>Assumptions!$B$30*Assumptions!$B$32</f>
        <v/>
      </c>
      <c r="C14" s="32">
        <f>Assumptions!$C$30*Assumptions!$C$32</f>
        <v/>
      </c>
    </row>
    <row r="15">
      <c r="A15" s="12" t="inlineStr">
        <is>
          <t>Academy participants</t>
        </is>
      </c>
      <c r="B15" s="32">
        <f>Assumptions!$B$34</f>
        <v/>
      </c>
      <c r="C15" s="32">
        <f>Assumptions!$C$34</f>
        <v/>
      </c>
    </row>
    <row r="16">
      <c r="A16" s="12" t="inlineStr">
        <is>
          <t>Camp participant-days</t>
        </is>
      </c>
      <c r="B16" s="32">
        <f>Assumptions!$B$36</f>
        <v/>
      </c>
      <c r="C16" s="32">
        <f>Assumptions!$C$36</f>
        <v/>
      </c>
    </row>
    <row r="17">
      <c r="A17" s="12" t="inlineStr">
        <is>
          <t>League player-visits</t>
        </is>
      </c>
      <c r="B17" s="32">
        <f>Assumptions!$B$38</f>
        <v/>
      </c>
      <c r="C17" s="32">
        <f>Assumptions!$C$38</f>
        <v/>
      </c>
    </row>
    <row r="18">
      <c r="A18" s="12" t="inlineStr">
        <is>
          <t>Corporate attendees</t>
        </is>
      </c>
      <c r="B18" s="32">
        <f>Assumptions!$B$40</f>
        <v/>
      </c>
      <c r="C18" s="32">
        <f>Assumptions!$C$40</f>
        <v/>
      </c>
    </row>
    <row r="19">
      <c r="A19" s="18" t="inlineStr">
        <is>
          <t>Total annual footfall</t>
        </is>
      </c>
      <c r="B19" s="34">
        <f>SUM(B12:B18)</f>
        <v/>
      </c>
      <c r="C19" s="34">
        <f>SUM(C12:C18)</f>
        <v/>
      </c>
    </row>
    <row r="21" ht="18" customHeight="1">
      <c r="A21" s="9" t="inlineStr">
        <is>
          <t>REVENUE STREAMS</t>
        </is>
      </c>
      <c r="B21" s="10" t="n"/>
      <c r="C21" s="10" t="n"/>
      <c r="D21" s="10" t="n"/>
    </row>
    <row r="22">
      <c r="A22" s="12" t="inlineStr">
        <is>
          <t>1. Walk-in pay-to-play</t>
        </is>
      </c>
      <c r="B22" s="16">
        <f>B12*Assumptions!$B$20</f>
        <v/>
      </c>
      <c r="C22" s="16">
        <f>C12*Assumptions!$C$20</f>
        <v/>
      </c>
    </row>
    <row r="23">
      <c r="A23" s="12" t="inlineStr">
        <is>
          <t>2. Membership</t>
        </is>
      </c>
      <c r="B23" s="16">
        <f>Assumptions!$B$25*Assumptions!$B$26*12</f>
        <v/>
      </c>
      <c r="C23" s="16">
        <f>Assumptions!$C$25*Assumptions!$C$26*12</f>
        <v/>
      </c>
      <c r="D23" s="8" t="inlineStr">
        <is>
          <t>Member play is covered by the fee</t>
        </is>
      </c>
    </row>
    <row r="24">
      <c r="A24" s="12" t="inlineStr">
        <is>
          <t>3. Parties</t>
        </is>
      </c>
      <c r="B24" s="16">
        <f>Assumptions!$B$30*Assumptions!$B$31</f>
        <v/>
      </c>
      <c r="C24" s="16">
        <f>Assumptions!$C$30*Assumptions!$C$31</f>
        <v/>
      </c>
    </row>
    <row r="25">
      <c r="A25" s="12" t="inlineStr">
        <is>
          <t>4. Academy &amp; clinics</t>
        </is>
      </c>
      <c r="B25" s="16">
        <f>Assumptions!$B$33</f>
        <v/>
      </c>
      <c r="C25" s="16">
        <f>Assumptions!$C$33</f>
        <v/>
      </c>
    </row>
    <row r="26">
      <c r="A26" s="12" t="inlineStr">
        <is>
          <t>5. Camps</t>
        </is>
      </c>
      <c r="B26" s="16">
        <f>Assumptions!$B$35</f>
        <v/>
      </c>
      <c r="C26" s="16">
        <f>Assumptions!$C$35</f>
        <v/>
      </c>
    </row>
    <row r="27">
      <c r="A27" s="12" t="inlineStr">
        <is>
          <t>6. Leagues</t>
        </is>
      </c>
      <c r="B27" s="16">
        <f>Assumptions!$B$37</f>
        <v/>
      </c>
      <c r="C27" s="16">
        <f>Assumptions!$C$37</f>
        <v/>
      </c>
    </row>
    <row r="28">
      <c r="A28" s="12" t="inlineStr">
        <is>
          <t>7. Corporate &amp; private events</t>
        </is>
      </c>
      <c r="B28" s="16">
        <f>Assumptions!$B$39</f>
        <v/>
      </c>
      <c r="C28" s="16">
        <f>Assumptions!$C$39</f>
        <v/>
      </c>
    </row>
    <row r="29">
      <c r="A29" s="12" t="inlineStr">
        <is>
          <t>8. Food &amp; beverage</t>
        </is>
      </c>
      <c r="B29" s="16">
        <f>B19*Assumptions!$B$21</f>
        <v/>
      </c>
      <c r="C29" s="16">
        <f>C19*Assumptions!$C$21</f>
        <v/>
      </c>
      <c r="D29" s="8" t="inlineStr">
        <is>
          <t>The margin engine. Do not under-build this</t>
        </is>
      </c>
    </row>
    <row r="30">
      <c r="A30" s="12" t="inlineStr">
        <is>
          <t>9. Retail</t>
        </is>
      </c>
      <c r="B30" s="16">
        <f>B19*Assumptions!$B$22</f>
        <v/>
      </c>
      <c r="C30" s="16">
        <f>C19*Assumptions!$C$22</f>
        <v/>
      </c>
    </row>
    <row r="31">
      <c r="A31" s="12" t="inlineStr">
        <is>
          <t>10. Sponsorship</t>
        </is>
      </c>
      <c r="B31" s="16">
        <f>Assumptions!$B$41</f>
        <v/>
      </c>
      <c r="C31" s="16">
        <f>Assumptions!$C$41</f>
        <v/>
      </c>
    </row>
    <row r="32">
      <c r="A32" s="18" t="inlineStr">
        <is>
          <t>STABILISED REVENUE</t>
        </is>
      </c>
      <c r="B32" s="35">
        <f>SUM(B22:B31)</f>
        <v/>
      </c>
      <c r="C32" s="35">
        <f>SUM(C22:C31)</f>
        <v/>
      </c>
    </row>
    <row r="34" ht="18" customHeight="1">
      <c r="A34" s="9" t="inlineStr">
        <is>
          <t>MIX CHECK</t>
        </is>
      </c>
      <c r="B34" s="10" t="n"/>
      <c r="C34" s="10" t="n"/>
      <c r="D34" s="10" t="n"/>
    </row>
    <row r="35">
      <c r="A35" s="12" t="inlineStr">
        <is>
          <t>F&amp;B as % of revenue</t>
        </is>
      </c>
      <c r="B35" s="22">
        <f>B29/B32</f>
        <v/>
      </c>
      <c r="C35" s="22">
        <f>C29/C32</f>
        <v/>
      </c>
      <c r="D35" s="8" t="inlineStr">
        <is>
          <t>Benchmark achieves 15%. Category norm is 25-40%</t>
        </is>
      </c>
    </row>
    <row r="36">
      <c r="A36" s="12" t="inlineStr">
        <is>
          <t>Membership as % of revenue</t>
        </is>
      </c>
      <c r="B36" s="22">
        <f>B23/B32</f>
        <v/>
      </c>
      <c r="C36" s="22">
        <f>C23/C32</f>
        <v/>
      </c>
      <c r="D36" s="8" t="inlineStr">
        <is>
          <t>Reality check on the 'recurring revenue platform' story</t>
        </is>
      </c>
    </row>
    <row r="37">
      <c r="A37" s="12" t="inlineStr">
        <is>
          <t>Recurring + programmed as % of revenue</t>
        </is>
      </c>
      <c r="B37" s="22">
        <f>(B23+B25+B26+B27)/B32</f>
        <v/>
      </c>
      <c r="C37" s="22">
        <f>(C23+C25+C26+C27)/C32</f>
        <v/>
      </c>
    </row>
    <row r="39" ht="18" customHeight="1">
      <c r="A39" s="9" t="inlineStr">
        <is>
          <t>DENSITY CROSS-CHECK</t>
        </is>
      </c>
      <c r="B39" s="10" t="n"/>
      <c r="C39" s="10" t="n"/>
      <c r="D39" s="10" t="n"/>
    </row>
    <row r="40">
      <c r="A40" s="18" t="inlineStr">
        <is>
          <t>Revenue per SF per year</t>
        </is>
      </c>
      <c r="B40" s="19">
        <f>B32/Assumptions!$B$7</f>
        <v/>
      </c>
      <c r="C40" s="19">
        <f>C32/Assumptions!$C$7</f>
        <v/>
      </c>
    </row>
    <row r="41">
      <c r="A41" s="12" t="inlineStr">
        <is>
          <t>Ballpark Brighton benchmark ($/SF)</t>
        </is>
      </c>
      <c r="B41" s="36">
        <f>Benchmark!$C$15</f>
        <v/>
      </c>
      <c r="C41" s="36">
        <f>Benchmark!$C$15</f>
        <v/>
      </c>
    </row>
    <row r="42">
      <c r="A42" s="18" t="inlineStr">
        <is>
          <t>Multiple of benchmark density</t>
        </is>
      </c>
      <c r="B42" s="37">
        <f>B40/B41</f>
        <v/>
      </c>
      <c r="C42" s="37">
        <f>C40/C41</f>
        <v/>
      </c>
      <c r="D42" s="8" t="inlineStr">
        <is>
          <t>How much better than the comparable this model assumes you operate</t>
        </is>
      </c>
    </row>
    <row r="43">
      <c r="A43" s="18" t="inlineStr">
        <is>
          <t>vs KIX plan revenue ($5.0M)</t>
        </is>
      </c>
      <c r="B43" s="38">
        <f>B32/Benchmark!$B$23</f>
        <v/>
      </c>
      <c r="C43" s="38">
        <f>C32/Benchmark!$B$23</f>
        <v/>
      </c>
      <c r="D43" s="8" t="inlineStr">
        <is>
          <t>This model as a percentage of the plan's Year 3 number</t>
        </is>
      </c>
    </row>
    <row r="45">
      <c r="A45" s="8" t="inlineStr">
        <is>
          <t>Note: member attraction play is not charged twice — the membership fee covers it, and member visits appear in footfall only, where they drive F&amp;B and retail.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CAPEX — TOTAL PROJECT COST</t>
        </is>
      </c>
    </row>
    <row r="2">
      <c r="A2" s="8" t="inlineStr">
        <is>
          <t>Excludes real estate acquisition.</t>
        </is>
      </c>
    </row>
    <row r="4">
      <c r="B4" s="11" t="inlineStr">
        <is>
          <t>18,000 SF</t>
        </is>
      </c>
      <c r="C4" s="11" t="inlineStr">
        <is>
          <t>35,000 SF</t>
        </is>
      </c>
      <c r="D4" s="11" t="inlineStr">
        <is>
          <t>Note</t>
        </is>
      </c>
    </row>
    <row r="5" ht="18" customHeight="1">
      <c r="A5" s="9" t="inlineStr">
        <is>
          <t>PROJECT COST</t>
        </is>
      </c>
      <c r="B5" s="10" t="n"/>
      <c r="C5" s="10" t="n"/>
      <c r="D5" s="10" t="n"/>
    </row>
    <row r="6">
      <c r="A6" s="12" t="inlineStr">
        <is>
          <t>Fit-out (shell to finished venue)</t>
        </is>
      </c>
      <c r="B6" s="16">
        <f>Assumptions!$B$7*Assumptions!$B$44</f>
        <v/>
      </c>
      <c r="C6" s="16">
        <f>Assumptions!$C$7*Assumptions!$C$44</f>
        <v/>
      </c>
      <c r="D6" s="8" t="inlineStr">
        <is>
          <t>HVAC, power, restrooms, fire, ADA, flooring, lighting, finishes</t>
        </is>
      </c>
    </row>
    <row r="7">
      <c r="A7" s="12" t="inlineStr">
        <is>
          <t>Attraction equipment (ESA)</t>
        </is>
      </c>
      <c r="B7" s="16">
        <f>Assumptions!$B$8*Assumptions!$B$45</f>
        <v/>
      </c>
      <c r="C7" s="16">
        <f>Assumptions!$C$8*Assumptions!$C$45</f>
        <v/>
      </c>
      <c r="D7" s="8" t="inlineStr">
        <is>
          <t>Landed and installed</t>
        </is>
      </c>
    </row>
    <row r="8">
      <c r="A8" s="12" t="inlineStr">
        <is>
          <t>FF&amp;E, bar &amp; kitchen</t>
        </is>
      </c>
      <c r="B8" s="16">
        <f>Assumptions!$B$46</f>
        <v/>
      </c>
      <c r="C8" s="16">
        <f>Assumptions!$C$46</f>
        <v/>
      </c>
    </row>
    <row r="9">
      <c r="A9" s="12" t="inlineStr">
        <is>
          <t>Technology</t>
        </is>
      </c>
      <c r="B9" s="16">
        <f>Assumptions!$B$47</f>
        <v/>
      </c>
      <c r="C9" s="16">
        <f>Assumptions!$C$47</f>
        <v/>
      </c>
    </row>
    <row r="10">
      <c r="A10" s="12" t="inlineStr">
        <is>
          <t>Pre-opening</t>
        </is>
      </c>
      <c r="B10" s="16">
        <f>Assumptions!$B$48</f>
        <v/>
      </c>
      <c r="C10" s="16">
        <f>Assumptions!$C$48</f>
        <v/>
      </c>
    </row>
    <row r="11">
      <c r="A11" s="18" t="inlineStr">
        <is>
          <t>Subtotal</t>
        </is>
      </c>
      <c r="B11" s="39">
        <f>SUM(B6:B10)</f>
        <v/>
      </c>
      <c r="C11" s="39">
        <f>SUM(C6:C10)</f>
        <v/>
      </c>
    </row>
    <row r="12">
      <c r="A12" s="12" t="inlineStr">
        <is>
          <t>Contingency</t>
        </is>
      </c>
      <c r="B12" s="16">
        <f>B11*Assumptions!$B$49</f>
        <v/>
      </c>
      <c r="C12" s="16">
        <f>C11*Assumptions!$C$49</f>
        <v/>
      </c>
    </row>
    <row r="13">
      <c r="A13" s="18" t="inlineStr">
        <is>
          <t>TOTAL PROJECT COST</t>
        </is>
      </c>
      <c r="B13" s="35">
        <f>B11+B12</f>
        <v/>
      </c>
      <c r="C13" s="35">
        <f>C11+C12</f>
        <v/>
      </c>
    </row>
    <row r="15" ht="18" customHeight="1">
      <c r="A15" s="9" t="inlineStr">
        <is>
          <t>CAPEX CHECKS</t>
        </is>
      </c>
      <c r="B15" s="10" t="n"/>
      <c r="C15" s="10" t="n"/>
      <c r="D15" s="10" t="n"/>
    </row>
    <row r="16">
      <c r="A16" s="12" t="inlineStr">
        <is>
          <t>Cost per SF</t>
        </is>
      </c>
      <c r="B16" s="21">
        <f>B13/Assumptions!$B$7</f>
        <v/>
      </c>
      <c r="C16" s="21">
        <f>C13/Assumptions!$C$7</f>
        <v/>
      </c>
    </row>
    <row r="17">
      <c r="A17" s="12" t="inlineStr">
        <is>
          <t>Ballpark benchmark cost per SF</t>
        </is>
      </c>
      <c r="B17" s="36">
        <f>Benchmark!$C$17</f>
        <v/>
      </c>
      <c r="C17" s="36">
        <f>Benchmark!$C$17</f>
        <v/>
      </c>
      <c r="D17" s="8" t="inlineStr">
        <is>
          <t>Benchmark was a fitted restaurant, so a warehouse shell should cost more</t>
        </is>
      </c>
    </row>
    <row r="18">
      <c r="A18" s="12" t="inlineStr">
        <is>
          <t>Equipment as % of total capex</t>
        </is>
      </c>
      <c r="B18" s="22">
        <f>B7/B13</f>
        <v/>
      </c>
      <c r="C18" s="22">
        <f>C7/C13</f>
        <v/>
      </c>
      <c r="D18" s="8" t="inlineStr">
        <is>
          <t>Benchmark ratio is 34.5%</t>
        </is>
      </c>
    </row>
    <row r="19">
      <c r="A19" s="18" t="inlineStr">
        <is>
          <t>vs KIX planned buildout ($1.5M)</t>
        </is>
      </c>
      <c r="B19" s="24">
        <f>B13/Benchmark!$B$25</f>
        <v/>
      </c>
      <c r="C19" s="24">
        <f>C13/Benchmark!$B$25</f>
        <v/>
      </c>
      <c r="D19" s="8" t="inlineStr">
        <is>
          <t>How far the plan's buildout budget is from a realistic build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44" customWidth="1" min="7" max="7"/>
  </cols>
  <sheetData>
    <row r="1">
      <c r="A1" s="1" t="inlineStr">
        <is>
          <t>FIVE YEAR P&amp;L</t>
        </is>
      </c>
    </row>
    <row r="2">
      <c r="A2" s="8" t="inlineStr">
        <is>
          <t>Stabilised revenue from 'Revenue Build', scaled by the ramp in 'Assumptions'.</t>
        </is>
      </c>
    </row>
    <row r="5" ht="18" customHeight="1">
      <c r="A5" s="9" t="inlineStr">
        <is>
          <t>SCENARIO A — 18,000 SF</t>
        </is>
      </c>
      <c r="B5" s="10" t="n"/>
      <c r="C5" s="10" t="n"/>
      <c r="D5" s="10" t="n"/>
      <c r="E5" s="10" t="n"/>
      <c r="F5" s="10" t="n"/>
      <c r="G5" s="10" t="n"/>
    </row>
    <row r="6">
      <c r="B6" s="40" t="inlineStr">
        <is>
          <t>Year 1</t>
        </is>
      </c>
      <c r="C6" s="40" t="inlineStr">
        <is>
          <t>Year 2</t>
        </is>
      </c>
      <c r="D6" s="40" t="inlineStr">
        <is>
          <t>Year 3</t>
        </is>
      </c>
      <c r="E6" s="40" t="inlineStr">
        <is>
          <t>Year 4</t>
        </is>
      </c>
      <c r="F6" s="40" t="inlineStr">
        <is>
          <t>Year 5</t>
        </is>
      </c>
      <c r="G6" s="11" t="inlineStr">
        <is>
          <t>Note</t>
        </is>
      </c>
    </row>
    <row r="7">
      <c r="A7" s="18" t="inlineStr">
        <is>
          <t>Revenue</t>
        </is>
      </c>
      <c r="B7" s="41">
        <f>'Revenue Build'!$B$32*Assumptions!$B$64</f>
        <v/>
      </c>
      <c r="C7" s="41">
        <f>'Revenue Build'!$B$32*Assumptions!$B$65</f>
        <v/>
      </c>
      <c r="D7" s="41">
        <f>'Revenue Build'!$B$32*Assumptions!$B$66</f>
        <v/>
      </c>
      <c r="E7" s="41">
        <f>'Revenue Build'!$B$32*Assumptions!$B$67</f>
        <v/>
      </c>
      <c r="F7" s="41">
        <f>'Revenue Build'!$B$32*Assumptions!$B$68</f>
        <v/>
      </c>
      <c r="G7" s="8" t="inlineStr">
        <is>
          <t>Ramp applied to stabilised revenue</t>
        </is>
      </c>
    </row>
    <row r="8">
      <c r="A8" s="42" t="inlineStr">
        <is>
          <t xml:space="preserve">  of which F&amp;B</t>
        </is>
      </c>
      <c r="B8" s="16">
        <f>B7*'Revenue Build'!$B$35</f>
        <v/>
      </c>
      <c r="C8" s="16">
        <f>C7*'Revenue Build'!$B$35</f>
        <v/>
      </c>
      <c r="D8" s="16">
        <f>D7*'Revenue Build'!$B$35</f>
        <v/>
      </c>
      <c r="E8" s="16">
        <f>E7*'Revenue Build'!$B$35</f>
        <v/>
      </c>
      <c r="F8" s="16">
        <f>F7*'Revenue Build'!$B$35</f>
        <v/>
      </c>
    </row>
    <row r="10">
      <c r="A10" s="18" t="inlineStr">
        <is>
          <t>Operating costs</t>
        </is>
      </c>
    </row>
    <row r="11">
      <c r="A11" s="42" t="inlineStr">
        <is>
          <t xml:space="preserve">  Labour</t>
        </is>
      </c>
      <c r="B11" s="16">
        <f>B7*Assumptions!$B$52</f>
        <v/>
      </c>
      <c r="C11" s="16">
        <f>C7*Assumptions!$B$52</f>
        <v/>
      </c>
      <c r="D11" s="16">
        <f>D7*Assumptions!$B$52</f>
        <v/>
      </c>
      <c r="E11" s="16">
        <f>E7*Assumptions!$B$52</f>
        <v/>
      </c>
      <c r="F11" s="16">
        <f>F7*Assumptions!$B$52</f>
        <v/>
      </c>
    </row>
    <row r="12">
      <c r="A12" s="42" t="inlineStr">
        <is>
          <t xml:space="preserve">  F&amp;B COGS</t>
        </is>
      </c>
      <c r="B12" s="16">
        <f>B8*Assumptions!$B$57</f>
        <v/>
      </c>
      <c r="C12" s="16">
        <f>C8*Assumptions!$B$57</f>
        <v/>
      </c>
      <c r="D12" s="16">
        <f>D8*Assumptions!$B$57</f>
        <v/>
      </c>
      <c r="E12" s="16">
        <f>E8*Assumptions!$B$57</f>
        <v/>
      </c>
      <c r="F12" s="16">
        <f>F8*Assumptions!$B$57</f>
        <v/>
      </c>
    </row>
    <row r="13">
      <c r="A13" s="42" t="inlineStr">
        <is>
          <t xml:space="preserve">  Rent</t>
        </is>
      </c>
      <c r="B13" s="16">
        <f>Assumptions!$B$7*Assumptions!$B$53</f>
        <v/>
      </c>
      <c r="C13" s="16">
        <f>Assumptions!$B$7*Assumptions!$B$53</f>
        <v/>
      </c>
      <c r="D13" s="16">
        <f>Assumptions!$B$7*Assumptions!$B$53</f>
        <v/>
      </c>
      <c r="E13" s="16">
        <f>Assumptions!$B$7*Assumptions!$B$53</f>
        <v/>
      </c>
      <c r="F13" s="16">
        <f>Assumptions!$B$7*Assumptions!$B$53</f>
        <v/>
      </c>
      <c r="G13" s="8" t="inlineStr">
        <is>
          <t>Fixed — does not scale with the ramp</t>
        </is>
      </c>
    </row>
    <row r="14">
      <c r="A14" s="42" t="inlineStr">
        <is>
          <t xml:space="preserve">  Utilities</t>
        </is>
      </c>
      <c r="B14" s="16">
        <f>Assumptions!$B$7*Assumptions!$B$54</f>
        <v/>
      </c>
      <c r="C14" s="16">
        <f>Assumptions!$B$7*Assumptions!$B$54</f>
        <v/>
      </c>
      <c r="D14" s="16">
        <f>Assumptions!$B$7*Assumptions!$B$54</f>
        <v/>
      </c>
      <c r="E14" s="16">
        <f>Assumptions!$B$7*Assumptions!$B$54</f>
        <v/>
      </c>
      <c r="F14" s="16">
        <f>Assumptions!$B$7*Assumptions!$B$54</f>
        <v/>
      </c>
    </row>
    <row r="15">
      <c r="A15" s="42" t="inlineStr">
        <is>
          <t xml:space="preserve">  Insurance</t>
        </is>
      </c>
      <c r="B15" s="16">
        <f>Assumptions!$B$7*Assumptions!$B$55</f>
        <v/>
      </c>
      <c r="C15" s="16">
        <f>Assumptions!$B$7*Assumptions!$B$55</f>
        <v/>
      </c>
      <c r="D15" s="16">
        <f>Assumptions!$B$7*Assumptions!$B$55</f>
        <v/>
      </c>
      <c r="E15" s="16">
        <f>Assumptions!$B$7*Assumptions!$B$55</f>
        <v/>
      </c>
      <c r="F15" s="16">
        <f>Assumptions!$B$7*Assumptions!$B$55</f>
        <v/>
      </c>
    </row>
    <row r="16">
      <c r="A16" s="42" t="inlineStr">
        <is>
          <t xml:space="preserve">  Marketing</t>
        </is>
      </c>
      <c r="B16" s="16">
        <f>B7*Assumptions!$B$56</f>
        <v/>
      </c>
      <c r="C16" s="16">
        <f>C7*Assumptions!$B$56</f>
        <v/>
      </c>
      <c r="D16" s="16">
        <f>D7*Assumptions!$B$56</f>
        <v/>
      </c>
      <c r="E16" s="16">
        <f>E7*Assumptions!$B$56</f>
        <v/>
      </c>
      <c r="F16" s="16">
        <f>F7*Assumptions!$B$56</f>
        <v/>
      </c>
    </row>
    <row r="17">
      <c r="A17" s="42" t="inlineStr">
        <is>
          <t xml:space="preserve">  Equipment service</t>
        </is>
      </c>
      <c r="B17" s="16">
        <f>Capex!$B$7*Assumptions!$B$58</f>
        <v/>
      </c>
      <c r="C17" s="16">
        <f>Capex!$B$7*Assumptions!$B$58</f>
        <v/>
      </c>
      <c r="D17" s="16">
        <f>Capex!$B$7*Assumptions!$B$58</f>
        <v/>
      </c>
      <c r="E17" s="16">
        <f>Capex!$B$7*Assumptions!$B$58</f>
        <v/>
      </c>
      <c r="F17" s="16">
        <f>Capex!$B$7*Assumptions!$B$58</f>
        <v/>
      </c>
    </row>
    <row r="18">
      <c r="A18" s="42" t="inlineStr">
        <is>
          <t xml:space="preserve">  Software &amp; systems</t>
        </is>
      </c>
      <c r="B18" s="16">
        <f>Assumptions!$B$59</f>
        <v/>
      </c>
      <c r="C18" s="16">
        <f>Assumptions!$B$59</f>
        <v/>
      </c>
      <c r="D18" s="16">
        <f>Assumptions!$B$59</f>
        <v/>
      </c>
      <c r="E18" s="16">
        <f>Assumptions!$B$59</f>
        <v/>
      </c>
      <c r="F18" s="16">
        <f>Assumptions!$B$59</f>
        <v/>
      </c>
    </row>
    <row r="19">
      <c r="A19" s="42" t="inlineStr">
        <is>
          <t xml:space="preserve">  Repairs &amp; renewals</t>
        </is>
      </c>
      <c r="B19" s="16">
        <f>B7*Assumptions!$B$60</f>
        <v/>
      </c>
      <c r="C19" s="16">
        <f>C7*Assumptions!$B$60</f>
        <v/>
      </c>
      <c r="D19" s="16">
        <f>D7*Assumptions!$B$60</f>
        <v/>
      </c>
      <c r="E19" s="16">
        <f>E7*Assumptions!$B$60</f>
        <v/>
      </c>
      <c r="F19" s="16">
        <f>F7*Assumptions!$B$60</f>
        <v/>
      </c>
    </row>
    <row r="20">
      <c r="A20" s="42" t="inlineStr">
        <is>
          <t xml:space="preserve">  Admin &amp; other</t>
        </is>
      </c>
      <c r="B20" s="16">
        <f>B7*Assumptions!$B$61</f>
        <v/>
      </c>
      <c r="C20" s="16">
        <f>C7*Assumptions!$B$61</f>
        <v/>
      </c>
      <c r="D20" s="16">
        <f>D7*Assumptions!$B$61</f>
        <v/>
      </c>
      <c r="E20" s="16">
        <f>E7*Assumptions!$B$61</f>
        <v/>
      </c>
      <c r="F20" s="16">
        <f>F7*Assumptions!$B$61</f>
        <v/>
      </c>
    </row>
    <row r="21">
      <c r="A21" s="18" t="inlineStr">
        <is>
          <t>Total operating costs</t>
        </is>
      </c>
      <c r="B21" s="39">
        <f>SUM(B11:B20)</f>
        <v/>
      </c>
      <c r="C21" s="39">
        <f>SUM(C11:C20)</f>
        <v/>
      </c>
      <c r="D21" s="39">
        <f>SUM(D11:D20)</f>
        <v/>
      </c>
      <c r="E21" s="39">
        <f>SUM(E11:E20)</f>
        <v/>
      </c>
      <c r="F21" s="39">
        <f>SUM(F11:F20)</f>
        <v/>
      </c>
    </row>
    <row r="23">
      <c r="A23" s="18" t="inlineStr">
        <is>
          <t>EBITDA</t>
        </is>
      </c>
      <c r="B23" s="35">
        <f>B7-B21</f>
        <v/>
      </c>
      <c r="C23" s="35">
        <f>C7-C21</f>
        <v/>
      </c>
      <c r="D23" s="35">
        <f>D7-D21</f>
        <v/>
      </c>
      <c r="E23" s="35">
        <f>E7-E21</f>
        <v/>
      </c>
      <c r="F23" s="35">
        <f>F7-F21</f>
        <v/>
      </c>
      <c r="G23" s="8" t="inlineStr">
        <is>
          <t>Venue-level EBITDA, before corporate overhead</t>
        </is>
      </c>
    </row>
    <row r="24">
      <c r="A24" s="18" t="inlineStr">
        <is>
          <t>EBITDA margin</t>
        </is>
      </c>
      <c r="B24" s="43">
        <f>IF(B7=0,0,B23/B7)</f>
        <v/>
      </c>
      <c r="C24" s="43">
        <f>IF(C7=0,0,C23/C7)</f>
        <v/>
      </c>
      <c r="D24" s="43">
        <f>IF(D7=0,0,D23/D7)</f>
        <v/>
      </c>
      <c r="E24" s="43">
        <f>IF(E7=0,0,E23/E7)</f>
        <v/>
      </c>
      <c r="F24" s="43">
        <f>IF(F7=0,0,F23/F7)</f>
        <v/>
      </c>
    </row>
    <row r="25">
      <c r="A25" s="12" t="inlineStr">
        <is>
          <t>Cumulative EBITDA</t>
        </is>
      </c>
      <c r="B25" s="16">
        <f>B23</f>
        <v/>
      </c>
      <c r="C25" s="16">
        <f>B25+C23</f>
        <v/>
      </c>
      <c r="D25" s="16">
        <f>C25+D23</f>
        <v/>
      </c>
      <c r="E25" s="16">
        <f>D25+E23</f>
        <v/>
      </c>
      <c r="F25" s="16">
        <f>E25+F23</f>
        <v/>
      </c>
    </row>
    <row r="28" ht="18" customHeight="1">
      <c r="A28" s="9" t="inlineStr">
        <is>
          <t>SCENARIO B — 35,000 SF</t>
        </is>
      </c>
      <c r="B28" s="10" t="n"/>
      <c r="C28" s="10" t="n"/>
      <c r="D28" s="10" t="n"/>
      <c r="E28" s="10" t="n"/>
      <c r="F28" s="10" t="n"/>
      <c r="G28" s="10" t="n"/>
    </row>
    <row r="29">
      <c r="B29" s="40" t="inlineStr">
        <is>
          <t>Year 1</t>
        </is>
      </c>
      <c r="C29" s="40" t="inlineStr">
        <is>
          <t>Year 2</t>
        </is>
      </c>
      <c r="D29" s="40" t="inlineStr">
        <is>
          <t>Year 3</t>
        </is>
      </c>
      <c r="E29" s="40" t="inlineStr">
        <is>
          <t>Year 4</t>
        </is>
      </c>
      <c r="F29" s="40" t="inlineStr">
        <is>
          <t>Year 5</t>
        </is>
      </c>
      <c r="G29" s="11" t="inlineStr">
        <is>
          <t>Note</t>
        </is>
      </c>
    </row>
    <row r="30">
      <c r="A30" s="18" t="inlineStr">
        <is>
          <t>Revenue</t>
        </is>
      </c>
      <c r="B30" s="41">
        <f>'Revenue Build'!$C$32*Assumptions!$C$64</f>
        <v/>
      </c>
      <c r="C30" s="41">
        <f>'Revenue Build'!$C$32*Assumptions!$C$65</f>
        <v/>
      </c>
      <c r="D30" s="41">
        <f>'Revenue Build'!$C$32*Assumptions!$C$66</f>
        <v/>
      </c>
      <c r="E30" s="41">
        <f>'Revenue Build'!$C$32*Assumptions!$C$67</f>
        <v/>
      </c>
      <c r="F30" s="41">
        <f>'Revenue Build'!$C$32*Assumptions!$C$68</f>
        <v/>
      </c>
    </row>
    <row r="31">
      <c r="A31" s="42" t="inlineStr">
        <is>
          <t xml:space="preserve">  of which F&amp;B</t>
        </is>
      </c>
      <c r="B31" s="16">
        <f>B30*'Revenue Build'!$C$35</f>
        <v/>
      </c>
      <c r="C31" s="16">
        <f>C30*'Revenue Build'!$C$35</f>
        <v/>
      </c>
      <c r="D31" s="16">
        <f>D30*'Revenue Build'!$C$35</f>
        <v/>
      </c>
      <c r="E31" s="16">
        <f>E30*'Revenue Build'!$C$35</f>
        <v/>
      </c>
      <c r="F31" s="16">
        <f>F30*'Revenue Build'!$C$35</f>
        <v/>
      </c>
    </row>
    <row r="33">
      <c r="A33" s="18" t="inlineStr">
        <is>
          <t>Operating costs</t>
        </is>
      </c>
    </row>
    <row r="34">
      <c r="A34" s="42" t="inlineStr">
        <is>
          <t xml:space="preserve">  Labour</t>
        </is>
      </c>
      <c r="B34" s="16">
        <f>B30*Assumptions!$C$52</f>
        <v/>
      </c>
      <c r="C34" s="16">
        <f>C30*Assumptions!$C$52</f>
        <v/>
      </c>
      <c r="D34" s="16">
        <f>D30*Assumptions!$C$52</f>
        <v/>
      </c>
      <c r="E34" s="16">
        <f>E30*Assumptions!$C$52</f>
        <v/>
      </c>
      <c r="F34" s="16">
        <f>F30*Assumptions!$C$52</f>
        <v/>
      </c>
    </row>
    <row r="35">
      <c r="A35" s="42" t="inlineStr">
        <is>
          <t xml:space="preserve">  F&amp;B COGS</t>
        </is>
      </c>
      <c r="B35" s="16">
        <f>B31*Assumptions!$C$57</f>
        <v/>
      </c>
      <c r="C35" s="16">
        <f>C31*Assumptions!$C$57</f>
        <v/>
      </c>
      <c r="D35" s="16">
        <f>D31*Assumptions!$C$57</f>
        <v/>
      </c>
      <c r="E35" s="16">
        <f>E31*Assumptions!$C$57</f>
        <v/>
      </c>
      <c r="F35" s="16">
        <f>F31*Assumptions!$C$57</f>
        <v/>
      </c>
    </row>
    <row r="36">
      <c r="A36" s="42" t="inlineStr">
        <is>
          <t xml:space="preserve">  Rent</t>
        </is>
      </c>
      <c r="B36" s="16">
        <f>Assumptions!$C$7*Assumptions!$C$53</f>
        <v/>
      </c>
      <c r="C36" s="16">
        <f>Assumptions!$C$7*Assumptions!$C$53</f>
        <v/>
      </c>
      <c r="D36" s="16">
        <f>Assumptions!$C$7*Assumptions!$C$53</f>
        <v/>
      </c>
      <c r="E36" s="16">
        <f>Assumptions!$C$7*Assumptions!$C$53</f>
        <v/>
      </c>
      <c r="F36" s="16">
        <f>Assumptions!$C$7*Assumptions!$C$53</f>
        <v/>
      </c>
    </row>
    <row r="37">
      <c r="A37" s="42" t="inlineStr">
        <is>
          <t xml:space="preserve">  Utilities</t>
        </is>
      </c>
      <c r="B37" s="16">
        <f>Assumptions!$C$7*Assumptions!$C$54</f>
        <v/>
      </c>
      <c r="C37" s="16">
        <f>Assumptions!$C$7*Assumptions!$C$54</f>
        <v/>
      </c>
      <c r="D37" s="16">
        <f>Assumptions!$C$7*Assumptions!$C$54</f>
        <v/>
      </c>
      <c r="E37" s="16">
        <f>Assumptions!$C$7*Assumptions!$C$54</f>
        <v/>
      </c>
      <c r="F37" s="16">
        <f>Assumptions!$C$7*Assumptions!$C$54</f>
        <v/>
      </c>
    </row>
    <row r="38">
      <c r="A38" s="42" t="inlineStr">
        <is>
          <t xml:space="preserve">  Insurance</t>
        </is>
      </c>
      <c r="B38" s="16">
        <f>Assumptions!$C$7*Assumptions!$C$55</f>
        <v/>
      </c>
      <c r="C38" s="16">
        <f>Assumptions!$C$7*Assumptions!$C$55</f>
        <v/>
      </c>
      <c r="D38" s="16">
        <f>Assumptions!$C$7*Assumptions!$C$55</f>
        <v/>
      </c>
      <c r="E38" s="16">
        <f>Assumptions!$C$7*Assumptions!$C$55</f>
        <v/>
      </c>
      <c r="F38" s="16">
        <f>Assumptions!$C$7*Assumptions!$C$55</f>
        <v/>
      </c>
    </row>
    <row r="39">
      <c r="A39" s="42" t="inlineStr">
        <is>
          <t xml:space="preserve">  Marketing</t>
        </is>
      </c>
      <c r="B39" s="16">
        <f>B30*Assumptions!$C$56</f>
        <v/>
      </c>
      <c r="C39" s="16">
        <f>C30*Assumptions!$C$56</f>
        <v/>
      </c>
      <c r="D39" s="16">
        <f>D30*Assumptions!$C$56</f>
        <v/>
      </c>
      <c r="E39" s="16">
        <f>E30*Assumptions!$C$56</f>
        <v/>
      </c>
      <c r="F39" s="16">
        <f>F30*Assumptions!$C$56</f>
        <v/>
      </c>
    </row>
    <row r="40">
      <c r="A40" s="42" t="inlineStr">
        <is>
          <t xml:space="preserve">  Equipment service</t>
        </is>
      </c>
      <c r="B40" s="16">
        <f>Capex!$C$7*Assumptions!$C$58</f>
        <v/>
      </c>
      <c r="C40" s="16">
        <f>Capex!$C$7*Assumptions!$C$58</f>
        <v/>
      </c>
      <c r="D40" s="16">
        <f>Capex!$C$7*Assumptions!$C$58</f>
        <v/>
      </c>
      <c r="E40" s="16">
        <f>Capex!$C$7*Assumptions!$C$58</f>
        <v/>
      </c>
      <c r="F40" s="16">
        <f>Capex!$C$7*Assumptions!$C$58</f>
        <v/>
      </c>
    </row>
    <row r="41">
      <c r="A41" s="42" t="inlineStr">
        <is>
          <t xml:space="preserve">  Software &amp; systems</t>
        </is>
      </c>
      <c r="B41" s="16">
        <f>Assumptions!$C$59</f>
        <v/>
      </c>
      <c r="C41" s="16">
        <f>Assumptions!$C$59</f>
        <v/>
      </c>
      <c r="D41" s="16">
        <f>Assumptions!$C$59</f>
        <v/>
      </c>
      <c r="E41" s="16">
        <f>Assumptions!$C$59</f>
        <v/>
      </c>
      <c r="F41" s="16">
        <f>Assumptions!$C$59</f>
        <v/>
      </c>
    </row>
    <row r="42">
      <c r="A42" s="42" t="inlineStr">
        <is>
          <t xml:space="preserve">  Repairs &amp; renewals</t>
        </is>
      </c>
      <c r="B42" s="16">
        <f>B30*Assumptions!$C$60</f>
        <v/>
      </c>
      <c r="C42" s="16">
        <f>C30*Assumptions!$C$60</f>
        <v/>
      </c>
      <c r="D42" s="16">
        <f>D30*Assumptions!$C$60</f>
        <v/>
      </c>
      <c r="E42" s="16">
        <f>E30*Assumptions!$C$60</f>
        <v/>
      </c>
      <c r="F42" s="16">
        <f>F30*Assumptions!$C$60</f>
        <v/>
      </c>
    </row>
    <row r="43">
      <c r="A43" s="42" t="inlineStr">
        <is>
          <t xml:space="preserve">  Admin &amp; other</t>
        </is>
      </c>
      <c r="B43" s="16">
        <f>B30*Assumptions!$C$61</f>
        <v/>
      </c>
      <c r="C43" s="16">
        <f>C30*Assumptions!$C$61</f>
        <v/>
      </c>
      <c r="D43" s="16">
        <f>D30*Assumptions!$C$61</f>
        <v/>
      </c>
      <c r="E43" s="16">
        <f>E30*Assumptions!$C$61</f>
        <v/>
      </c>
      <c r="F43" s="16">
        <f>F30*Assumptions!$C$61</f>
        <v/>
      </c>
    </row>
    <row r="44">
      <c r="A44" s="18" t="inlineStr">
        <is>
          <t>Total operating costs</t>
        </is>
      </c>
      <c r="B44" s="39">
        <f>SUM(B34:B43)</f>
        <v/>
      </c>
      <c r="C44" s="39">
        <f>SUM(C34:C43)</f>
        <v/>
      </c>
      <c r="D44" s="39">
        <f>SUM(D34:D43)</f>
        <v/>
      </c>
      <c r="E44" s="39">
        <f>SUM(E34:E43)</f>
        <v/>
      </c>
      <c r="F44" s="39">
        <f>SUM(F34:F43)</f>
        <v/>
      </c>
    </row>
    <row r="46">
      <c r="A46" s="18" t="inlineStr">
        <is>
          <t>EBITDA</t>
        </is>
      </c>
      <c r="B46" s="35">
        <f>B30-B44</f>
        <v/>
      </c>
      <c r="C46" s="35">
        <f>C30-C44</f>
        <v/>
      </c>
      <c r="D46" s="35">
        <f>D30-D44</f>
        <v/>
      </c>
      <c r="E46" s="35">
        <f>E30-E44</f>
        <v/>
      </c>
      <c r="F46" s="35">
        <f>F30-F44</f>
        <v/>
      </c>
      <c r="G46" s="8" t="inlineStr">
        <is>
          <t>Venue-level EBITDA, before corporate overhead</t>
        </is>
      </c>
    </row>
    <row r="47">
      <c r="A47" s="18" t="inlineStr">
        <is>
          <t>EBITDA margin</t>
        </is>
      </c>
      <c r="B47" s="43">
        <f>IF(B30=0,0,B46/B30)</f>
        <v/>
      </c>
      <c r="C47" s="43">
        <f>IF(C30=0,0,C46/C30)</f>
        <v/>
      </c>
      <c r="D47" s="43">
        <f>IF(D30=0,0,D46/D30)</f>
        <v/>
      </c>
      <c r="E47" s="43">
        <f>IF(E30=0,0,E46/E30)</f>
        <v/>
      </c>
      <c r="F47" s="43">
        <f>IF(F30=0,0,F46/F30)</f>
        <v/>
      </c>
    </row>
    <row r="48">
      <c r="A48" s="12" t="inlineStr">
        <is>
          <t>Cumulative EBITDA</t>
        </is>
      </c>
      <c r="B48" s="16">
        <f>B46</f>
        <v/>
      </c>
      <c r="C48" s="16">
        <f>B48+C46</f>
        <v/>
      </c>
      <c r="D48" s="16">
        <f>C48+D46</f>
        <v/>
      </c>
      <c r="E48" s="16">
        <f>D48+E46</f>
        <v/>
      </c>
      <c r="F48" s="16">
        <f>E48+F46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52" customWidth="1" min="4" max="4"/>
  </cols>
  <sheetData>
    <row r="1">
      <c r="A1" s="1" t="inlineStr">
        <is>
          <t>RETURNS &amp; SCENARIOS</t>
        </is>
      </c>
    </row>
    <row r="2">
      <c r="A2" s="8" t="inlineStr">
        <is>
          <t>Venue-level returns on total project cost, excluding real estate.</t>
        </is>
      </c>
    </row>
    <row r="4">
      <c r="B4" s="11" t="inlineStr">
        <is>
          <t>18,000 SF</t>
        </is>
      </c>
      <c r="C4" s="11" t="inlineStr">
        <is>
          <t>35,000 SF</t>
        </is>
      </c>
      <c r="D4" s="11" t="inlineStr">
        <is>
          <t>Note</t>
        </is>
      </c>
    </row>
    <row r="5" ht="18" customHeight="1">
      <c r="A5" s="9" t="inlineStr">
        <is>
          <t>BASE CASE RETURNS</t>
        </is>
      </c>
      <c r="B5" s="10" t="n"/>
      <c r="C5" s="10" t="n"/>
      <c r="D5" s="10" t="n"/>
    </row>
    <row r="6">
      <c r="A6" s="12" t="inlineStr">
        <is>
          <t>Total project cost</t>
        </is>
      </c>
      <c r="B6" s="44">
        <f>Capex!$B$13</f>
        <v/>
      </c>
      <c r="C6" s="44">
        <f>Capex!$C$13</f>
        <v/>
      </c>
    </row>
    <row r="7">
      <c r="A7" s="12" t="inlineStr">
        <is>
          <t>Year 3 revenue (stabilised)</t>
        </is>
      </c>
      <c r="B7" s="16">
        <f>P&amp;L!D7</f>
        <v/>
      </c>
      <c r="C7" s="16">
        <f>P&amp;L!D30</f>
        <v/>
      </c>
    </row>
    <row r="8">
      <c r="A8" s="12" t="inlineStr">
        <is>
          <t>Year 3 EBITDA</t>
        </is>
      </c>
      <c r="B8" s="16">
        <f>P&amp;L!D23</f>
        <v/>
      </c>
      <c r="C8" s="16">
        <f>P&amp;L!D46</f>
        <v/>
      </c>
    </row>
    <row r="9">
      <c r="A9" s="12" t="inlineStr">
        <is>
          <t>Year 3 EBITDA margin</t>
        </is>
      </c>
      <c r="B9" s="22">
        <f>P&amp;L!D24</f>
        <v/>
      </c>
      <c r="C9" s="22">
        <f>P&amp;L!D47</f>
        <v/>
      </c>
    </row>
    <row r="10">
      <c r="A10" s="12" t="inlineStr">
        <is>
          <t>Year 5 EBITDA</t>
        </is>
      </c>
      <c r="B10" s="16">
        <f>P&amp;L!F23</f>
        <v/>
      </c>
      <c r="C10" s="16">
        <f>P&amp;L!F46</f>
        <v/>
      </c>
    </row>
    <row r="11">
      <c r="A11" s="12" t="inlineStr">
        <is>
          <t>Cumulative 5-year EBITDA</t>
        </is>
      </c>
      <c r="B11" s="16">
        <f>P&amp;L!F25</f>
        <v/>
      </c>
      <c r="C11" s="16">
        <f>P&amp;L!F48</f>
        <v/>
      </c>
    </row>
    <row r="12">
      <c r="A12" s="18" t="inlineStr">
        <is>
          <t>Simple payback on stabilised EBITDA (years)</t>
        </is>
      </c>
      <c r="B12" s="45">
        <f>IF(B8&lt;=0,"n/a",B6/B8)</f>
        <v/>
      </c>
      <c r="C12" s="45">
        <f>IF(C8&lt;=0,"n/a",C6/C8)</f>
        <v/>
      </c>
      <c r="D12" s="8" t="inlineStr">
        <is>
          <t>Capex divided by Year 3 EBITDA</t>
        </is>
      </c>
    </row>
    <row r="13">
      <c r="A13" s="18" t="inlineStr">
        <is>
          <t>Year 3 cash-on-cash return</t>
        </is>
      </c>
      <c r="B13" s="43">
        <f>B8/B6</f>
        <v/>
      </c>
      <c r="C13" s="43">
        <f>C8/C6</f>
        <v/>
      </c>
    </row>
    <row r="14">
      <c r="A14" s="12" t="inlineStr">
        <is>
          <t>5-year EBITDA as % of capex</t>
        </is>
      </c>
      <c r="B14" s="22">
        <f>B11/B6</f>
        <v/>
      </c>
      <c r="C14" s="22">
        <f>C11/C6</f>
        <v/>
      </c>
      <c r="D14" s="8" t="inlineStr">
        <is>
          <t>Above 100% means the venue has repaid its build within five years</t>
        </is>
      </c>
    </row>
    <row r="15">
      <c r="A15" s="18" t="inlineStr">
        <is>
          <t>Capex per $1 of stabilised revenue</t>
        </is>
      </c>
      <c r="B15" s="37">
        <f>B6/B7</f>
        <v/>
      </c>
      <c r="C15" s="37">
        <f>C6/C7</f>
        <v/>
      </c>
      <c r="D15" s="8" t="inlineStr">
        <is>
          <t>Lower is better. This is where the smaller box tends to win</t>
        </is>
      </c>
    </row>
    <row r="17" ht="18" customHeight="1">
      <c r="A17" s="9" t="inlineStr">
        <is>
          <t>SENSITIVITY — REVENUE SCENARIOS</t>
        </is>
      </c>
      <c r="B17" s="10" t="n"/>
      <c r="C17" s="10" t="n"/>
      <c r="D17" s="10" t="n"/>
    </row>
    <row r="18">
      <c r="B18" s="11" t="inlineStr">
        <is>
          <t>Revenue</t>
        </is>
      </c>
      <c r="C18" s="11" t="inlineStr">
        <is>
          <t>multiplier</t>
        </is>
      </c>
    </row>
    <row r="19">
      <c r="A19" s="18" t="inlineStr">
        <is>
          <t>Downside</t>
        </is>
      </c>
      <c r="B19" s="46" t="n">
        <v>0.7</v>
      </c>
      <c r="D19" s="8" t="inlineStr">
        <is>
          <t>Utilisation and spend disappoint; closer to benchmark density</t>
        </is>
      </c>
    </row>
    <row r="20">
      <c r="A20" s="18" t="inlineStr">
        <is>
          <t>Base</t>
        </is>
      </c>
      <c r="B20" s="46" t="n">
        <v>1</v>
      </c>
      <c r="D20" s="8" t="inlineStr">
        <is>
          <t>The model as built</t>
        </is>
      </c>
    </row>
    <row r="21">
      <c r="A21" s="18" t="inlineStr">
        <is>
          <t>Upside</t>
        </is>
      </c>
      <c r="B21" s="46" t="n">
        <v>1.25</v>
      </c>
      <c r="D21" s="8" t="inlineStr">
        <is>
          <t>Strong utilisation, F&amp;B and membership outperform</t>
        </is>
      </c>
    </row>
    <row r="23">
      <c r="A23" s="11" t="inlineStr">
        <is>
          <t>18,000 SF</t>
        </is>
      </c>
      <c r="B23" s="11" t="inlineStr">
        <is>
          <t>Revenue</t>
        </is>
      </c>
      <c r="C23" s="11" t="inlineStr">
        <is>
          <t>EBITDA</t>
        </is>
      </c>
      <c r="D23" s="11" t="inlineStr">
        <is>
          <t>Payback (yrs)</t>
        </is>
      </c>
    </row>
    <row r="24">
      <c r="A24" s="42" t="inlineStr">
        <is>
          <t xml:space="preserve">  Downside</t>
        </is>
      </c>
      <c r="B24" s="16">
        <f>'Returns &amp; Scenarios'!$B$7*$B$19</f>
        <v/>
      </c>
      <c r="C24" s="16">
        <f>B24-(B24*(Assumptions!$B$52+Assumptions!$B$56+Assumptions!$B$60+Assumptions!$B$61)+B24*'Revenue Build'!$B$35*Assumptions!$B$57+Assumptions!$B$7*(Assumptions!$B$53+Assumptions!$B$54+Assumptions!$B$55)+Capex!$B$7*Assumptions!$B$58+Assumptions!$B$59)</f>
        <v/>
      </c>
      <c r="D24" s="47">
        <f>IF(C24&lt;=0,"n/a",$B$6/C24)</f>
        <v/>
      </c>
    </row>
    <row r="25">
      <c r="A25" s="42" t="inlineStr">
        <is>
          <t xml:space="preserve">  Base</t>
        </is>
      </c>
      <c r="B25" s="16">
        <f>'Returns &amp; Scenarios'!$B$7*$B$20</f>
        <v/>
      </c>
      <c r="C25" s="16">
        <f>B25-(B25*(Assumptions!$B$52+Assumptions!$B$56+Assumptions!$B$60+Assumptions!$B$61)+B25*'Revenue Build'!$B$35*Assumptions!$B$57+Assumptions!$B$7*(Assumptions!$B$53+Assumptions!$B$54+Assumptions!$B$55)+Capex!$B$7*Assumptions!$B$58+Assumptions!$B$59)</f>
        <v/>
      </c>
      <c r="D25" s="47">
        <f>IF(C25&lt;=0,"n/a",$B$6/C25)</f>
        <v/>
      </c>
    </row>
    <row r="26">
      <c r="A26" s="42" t="inlineStr">
        <is>
          <t xml:space="preserve">  Upside</t>
        </is>
      </c>
      <c r="B26" s="16">
        <f>'Returns &amp; Scenarios'!$B$7*$B$21</f>
        <v/>
      </c>
      <c r="C26" s="16">
        <f>B26-(B26*(Assumptions!$B$52+Assumptions!$B$56+Assumptions!$B$60+Assumptions!$B$61)+B26*'Revenue Build'!$B$35*Assumptions!$B$57+Assumptions!$B$7*(Assumptions!$B$53+Assumptions!$B$54+Assumptions!$B$55)+Capex!$B$7*Assumptions!$B$58+Assumptions!$B$59)</f>
        <v/>
      </c>
      <c r="D26" s="47">
        <f>IF(C26&lt;=0,"n/a",$B$6/C26)</f>
        <v/>
      </c>
    </row>
    <row r="28">
      <c r="A28" s="11" t="inlineStr">
        <is>
          <t>35,000 SF</t>
        </is>
      </c>
      <c r="B28" s="11" t="inlineStr">
        <is>
          <t>Revenue</t>
        </is>
      </c>
      <c r="C28" s="11" t="inlineStr">
        <is>
          <t>EBITDA</t>
        </is>
      </c>
      <c r="D28" s="11" t="inlineStr">
        <is>
          <t>Payback (yrs)</t>
        </is>
      </c>
    </row>
    <row r="29">
      <c r="A29" s="42" t="inlineStr">
        <is>
          <t xml:space="preserve">  Downside</t>
        </is>
      </c>
      <c r="B29" s="16">
        <f>'Returns &amp; Scenarios'!$C$7*$B$19</f>
        <v/>
      </c>
      <c r="C29" s="16">
        <f>B29-(B29*(Assumptions!$C$52+Assumptions!$C$56+Assumptions!$C$60+Assumptions!$C$61)+B29*'Revenue Build'!$C$35*Assumptions!$C$57+Assumptions!$C$7*(Assumptions!$C$53+Assumptions!$C$54+Assumptions!$C$55)+Capex!$C$7*Assumptions!$C$58+Assumptions!$C$59)</f>
        <v/>
      </c>
      <c r="D29" s="47">
        <f>IF(C29&lt;=0,"n/a",$C$6/C29)</f>
        <v/>
      </c>
    </row>
    <row r="30">
      <c r="A30" s="42" t="inlineStr">
        <is>
          <t xml:space="preserve">  Base</t>
        </is>
      </c>
      <c r="B30" s="16">
        <f>'Returns &amp; Scenarios'!$C$7*$B$20</f>
        <v/>
      </c>
      <c r="C30" s="16">
        <f>B30-(B30*(Assumptions!$C$52+Assumptions!$C$56+Assumptions!$C$60+Assumptions!$C$61)+B30*'Revenue Build'!$C$35*Assumptions!$C$57+Assumptions!$C$7*(Assumptions!$C$53+Assumptions!$C$54+Assumptions!$C$55)+Capex!$C$7*Assumptions!$C$58+Assumptions!$C$59)</f>
        <v/>
      </c>
      <c r="D30" s="47">
        <f>IF(C30&lt;=0,"n/a",$C$6/C30)</f>
        <v/>
      </c>
    </row>
    <row r="31">
      <c r="A31" s="42" t="inlineStr">
        <is>
          <t xml:space="preserve">  Upside</t>
        </is>
      </c>
      <c r="B31" s="16">
        <f>'Returns &amp; Scenarios'!$C$7*$B$21</f>
        <v/>
      </c>
      <c r="C31" s="16">
        <f>B31-(B31*(Assumptions!$C$52+Assumptions!$C$56+Assumptions!$C$60+Assumptions!$C$61)+B31*'Revenue Build'!$C$35*Assumptions!$C$57+Assumptions!$C$7*(Assumptions!$C$53+Assumptions!$C$54+Assumptions!$C$55)+Capex!$C$7*Assumptions!$C$58+Assumptions!$C$59)</f>
        <v/>
      </c>
      <c r="D31" s="47">
        <f>IF(C31&lt;=0,"n/a",$C$6/C31)</f>
        <v/>
      </c>
    </row>
    <row r="33" ht="18" customHeight="1">
      <c r="A33" s="9" t="inlineStr">
        <is>
          <t>RECONCILIATION AGAINST THE KIX PLAN</t>
        </is>
      </c>
      <c r="B33" s="10" t="n"/>
      <c r="C33" s="10" t="n"/>
      <c r="D33" s="10" t="n"/>
    </row>
    <row r="34">
      <c r="B34" s="11" t="inlineStr">
        <is>
          <t>KIX plan</t>
        </is>
      </c>
      <c r="C34" s="11" t="inlineStr">
        <is>
          <t>This model (35k)</t>
        </is>
      </c>
      <c r="D34" s="11" t="inlineStr">
        <is>
          <t>Gap</t>
        </is>
      </c>
    </row>
    <row r="35">
      <c r="A35" s="18" t="inlineStr">
        <is>
          <t>Stabilised revenue</t>
        </is>
      </c>
      <c r="B35" s="44">
        <f>Benchmark!$B$23</f>
        <v/>
      </c>
      <c r="C35" s="41">
        <f>$C$7</f>
        <v/>
      </c>
      <c r="D35" s="48">
        <f>IF(B35=0,0,C35/B35-1)</f>
        <v/>
      </c>
    </row>
    <row r="36">
      <c r="A36" s="18" t="inlineStr">
        <is>
          <t>Stabilised EBITDA</t>
        </is>
      </c>
      <c r="B36" s="44">
        <f>Benchmark!$B$24</f>
        <v/>
      </c>
      <c r="C36" s="41">
        <f>$C$8</f>
        <v/>
      </c>
      <c r="D36" s="48">
        <f>IF(B36=0,0,C36/B36-1)</f>
        <v/>
      </c>
    </row>
    <row r="37">
      <c r="A37" s="18" t="inlineStr">
        <is>
          <t>EBITDA margin</t>
        </is>
      </c>
      <c r="B37" s="49">
        <f>Benchmark!$B$24/Benchmark!$B$23</f>
        <v/>
      </c>
      <c r="C37" s="38">
        <f>$C$9</f>
        <v/>
      </c>
      <c r="D37" s="48">
        <f>IF(B37=0,0,C37/B37-1)</f>
        <v/>
      </c>
    </row>
    <row r="38">
      <c r="A38" s="18" t="inlineStr">
        <is>
          <t>Buildout / project cost</t>
        </is>
      </c>
      <c r="B38" s="44">
        <f>Benchmark!$B$25</f>
        <v/>
      </c>
      <c r="C38" s="41">
        <f>$C$6</f>
        <v/>
      </c>
      <c r="D38" s="48">
        <f>IF(B38=0,0,C38/B38-1)</f>
        <v/>
      </c>
    </row>
    <row r="39">
      <c r="A39" s="18" t="inlineStr">
        <is>
          <t>Revenue per SF</t>
        </is>
      </c>
      <c r="B39" s="36">
        <f>Benchmark!$B$26</f>
        <v/>
      </c>
      <c r="C39" s="19">
        <f>'Revenue Build'!$C$40</f>
        <v/>
      </c>
      <c r="D39" s="48">
        <f>IF(B39=0,0,C39/B39-1)</f>
        <v/>
      </c>
    </row>
    <row r="40">
      <c r="A40" s="18" t="inlineStr">
        <is>
          <t>Payback (years)</t>
        </is>
      </c>
      <c r="B40" s="50">
        <f>Benchmark!$B$28</f>
        <v/>
      </c>
      <c r="C40" s="51">
        <f>$C$12</f>
        <v/>
      </c>
      <c r="D40" s="48">
        <f>IF(B40=0,0,C40/B40-1)</f>
        <v/>
      </c>
    </row>
    <row r="42">
      <c r="A42" s="11" t="inlineStr">
        <is>
          <t>What has to be true to reach the plan's $5.0M</t>
        </is>
      </c>
    </row>
    <row r="43">
      <c r="A43" s="12" t="inlineStr">
        <is>
          <t>Raise blended station utilisation well above 20%, or add stations, or push spend per visit materially higher.</t>
        </is>
      </c>
    </row>
    <row r="44">
      <c r="A44" s="12" t="inlineStr">
        <is>
          <t>Reach roughly 3x the revenue density of the only published ESA entertainment comparable.</t>
        </is>
      </c>
    </row>
    <row r="45">
      <c r="A45" s="12" t="inlineStr">
        <is>
          <t>Build a real F&amp;B operation — at 15% of revenue, as the benchmark runs, the number is unreachable.</t>
        </is>
      </c>
    </row>
    <row r="46">
      <c r="A46" s="12" t="inlineStr">
        <is>
          <t>None of these are impossible. All of them are currently assumed rather than evidenced.</t>
        </is>
      </c>
    </row>
    <row r="47">
      <c r="A47" s="8" t="inlineStr"/>
    </row>
    <row r="48">
      <c r="A48" s="12" t="inlineStr">
        <is>
          <t>The cheapest way to replace assumption with evidence: run the presell campaign (plan section 25) before the raise,</t>
        </is>
      </c>
    </row>
    <row r="49">
      <c r="A49" s="12" t="inlineStr">
        <is>
          <t>and spend a day at ESA's own FTY Lab in Poole counting throughput per station per hour.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2026-09-06T19:27:46Z</dcterms:created>
  <dcterms:modified xsi:type="dcterms:W3CDTF">2026-09-06T19:27:46Z</dcterms:modified>
</cp:coreProperties>
</file>